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30"/>
  <workbookPr/>
  <mc:AlternateContent xmlns:mc="http://schemas.openxmlformats.org/markup-compatibility/2006">
    <mc:Choice Requires="x15">
      <x15ac:absPath xmlns:x15ac="http://schemas.microsoft.com/office/spreadsheetml/2010/11/ac" url="https://aaudk.sharepoint.com/sites/P4-5.219/Delte dokumenter/General/Projekt/"/>
    </mc:Choice>
  </mc:AlternateContent>
  <xr:revisionPtr revIDLastSave="2044" documentId="11_933C857C1FC53A6A38B5886D9027AB17AF4E55D7" xr6:coauthVersionLast="47" xr6:coauthVersionMax="47" xr10:uidLastSave="{E257D199-9923-4E95-8269-DDCB1B95C81A}"/>
  <bookViews>
    <workbookView xWindow="-108" yWindow="-108" windowWidth="23256" windowHeight="12456" firstSheet="4" activeTab="4" xr2:uid="{00000000-000D-0000-FFFF-FFFF00000000}"/>
  </bookViews>
  <sheets>
    <sheet name="HLS" sheetId="1" r:id="rId1"/>
    <sheet name="LFC" sheetId="2" r:id="rId2"/>
    <sheet name="PLFC" sheetId="3" r:id="rId3"/>
    <sheet name="Transposition" sheetId="4" r:id="rId4"/>
    <sheet name="Composi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F3" i="5"/>
  <c r="F3" i="4"/>
  <c r="F3" i="3"/>
  <c r="F3" i="2"/>
  <c r="F3" i="1"/>
  <c r="D135" i="5"/>
  <c r="D131" i="5"/>
  <c r="D130" i="5"/>
  <c r="D128" i="5"/>
  <c r="D127" i="5"/>
  <c r="D126" i="5"/>
  <c r="D125" i="5"/>
  <c r="D124" i="5"/>
  <c r="D123" i="5"/>
  <c r="D135" i="4"/>
  <c r="D131" i="4"/>
  <c r="D127" i="4"/>
  <c r="D126" i="4"/>
  <c r="D125" i="4"/>
  <c r="D124" i="4"/>
  <c r="D123" i="4"/>
  <c r="D135" i="3"/>
  <c r="D131" i="3"/>
  <c r="D130" i="3"/>
  <c r="D128" i="3"/>
  <c r="D127" i="3"/>
  <c r="D126" i="3"/>
  <c r="D125" i="3"/>
  <c r="D124" i="3"/>
  <c r="D123" i="3"/>
  <c r="D135" i="2"/>
  <c r="D132" i="2"/>
  <c r="D127" i="2"/>
  <c r="D126" i="2"/>
  <c r="D125" i="2"/>
  <c r="D124" i="2"/>
  <c r="D131" i="2" s="1"/>
  <c r="D123" i="2"/>
  <c r="D135" i="1"/>
  <c r="D132" i="1"/>
  <c r="D131" i="1"/>
  <c r="D130" i="1"/>
  <c r="D128" i="1"/>
  <c r="D127" i="1"/>
  <c r="D126" i="1"/>
  <c r="D125" i="1"/>
  <c r="D124" i="1"/>
  <c r="D123" i="1"/>
  <c r="D132" i="4"/>
  <c r="D133" i="4"/>
  <c r="D134" i="4"/>
  <c r="D133" i="5"/>
  <c r="D132" i="5"/>
  <c r="D133" i="3"/>
  <c r="D132" i="3"/>
  <c r="D134" i="1"/>
  <c r="D133" i="1"/>
  <c r="D134" i="2"/>
  <c r="D133" i="2"/>
  <c r="D134" i="3"/>
  <c r="D134" i="5"/>
  <c r="D130" i="4" l="1"/>
  <c r="D128" i="4"/>
  <c r="D130" i="2"/>
  <c r="D128" i="2"/>
</calcChain>
</file>

<file path=xl/sharedStrings.xml><?xml version="1.0" encoding="utf-8"?>
<sst xmlns="http://schemas.openxmlformats.org/spreadsheetml/2006/main" count="686" uniqueCount="201">
  <si>
    <t>Sentence</t>
  </si>
  <si>
    <t>Person</t>
  </si>
  <si>
    <t># correct words</t>
  </si>
  <si>
    <t>Anders vandt tolv store kasser</t>
  </si>
  <si>
    <t>Anders fandt tolv store kasser</t>
  </si>
  <si>
    <t>y/i-forveksling</t>
  </si>
  <si>
    <t>Per købte ti fine biler</t>
  </si>
  <si>
    <t>Per købte ti fine biler.</t>
  </si>
  <si>
    <t>per købte ti fine biler</t>
  </si>
  <si>
    <t>Ulla ejer syv røde jakker</t>
  </si>
  <si>
    <t>Michael havde fem nye planter</t>
  </si>
  <si>
    <t>Micahel havde fem nye planter</t>
  </si>
  <si>
    <t>Niels solgte tre smukke blomster</t>
  </si>
  <si>
    <t>Linda valgte ni hvide skabe</t>
  </si>
  <si>
    <t>Linda valgte ni hvide skabe.</t>
  </si>
  <si>
    <t>Linda valgte ni nye skabe</t>
  </si>
  <si>
    <t>Birgit finder tyve pæne huse</t>
  </si>
  <si>
    <t>Ingrid låner otte gamle masker</t>
  </si>
  <si>
    <t>Henning får seks flotte ringe</t>
  </si>
  <si>
    <t>Kirsten ser fjorten sjove gaver</t>
  </si>
  <si>
    <t>kirsten ser fjorten sjove gaver</t>
  </si>
  <si>
    <t>Henning låner syv hvide jakker</t>
  </si>
  <si>
    <t>Henning låner syv lede jakker</t>
  </si>
  <si>
    <t>Ander finder fem gamle skabe</t>
  </si>
  <si>
    <t>Anders finder fem gamle skabe</t>
  </si>
  <si>
    <t>Linda havde ti fine gaver</t>
  </si>
  <si>
    <t>Linda havda ti fine gaver</t>
  </si>
  <si>
    <t>Linda havde x fine gaver</t>
  </si>
  <si>
    <t>Kirsten solgte seks sjove ringe</t>
  </si>
  <si>
    <t>Micheal får tolv røde huse</t>
  </si>
  <si>
    <t>Michael får tolv røde huse</t>
  </si>
  <si>
    <t>Birgit ser tre store blomster</t>
  </si>
  <si>
    <t>Birgit ser tre store blosmter</t>
  </si>
  <si>
    <t>Niels købte tyve pæne planter</t>
  </si>
  <si>
    <t>Per valgte ni flotte masker</t>
  </si>
  <si>
    <t>Ulla vandt otte smukke biler</t>
  </si>
  <si>
    <t>Ingrid ejer fjorten nye kasser</t>
  </si>
  <si>
    <t>#correct words test person 1</t>
  </si>
  <si>
    <t>#correct words test person 2</t>
  </si>
  <si>
    <t>#correct words test person 3</t>
  </si>
  <si>
    <t>#correct words test person 4</t>
  </si>
  <si>
    <t>#correct words test person 5</t>
  </si>
  <si>
    <t>Average correct words out of 100</t>
  </si>
  <si>
    <t>Average words per sentence tp1</t>
  </si>
  <si>
    <t>Average words per sentence tp2</t>
  </si>
  <si>
    <t>Average words per sentence tp3</t>
  </si>
  <si>
    <t>Average words per sentence tp4</t>
  </si>
  <si>
    <t>Average words per sentence tp5</t>
  </si>
  <si>
    <t>Average correct words per senetence</t>
  </si>
  <si>
    <t>Henning havde fjorten sjove blomster</t>
  </si>
  <si>
    <t>Hennnig havde fjorten sjove blomster</t>
  </si>
  <si>
    <t>Kirtsen ser syv store huse</t>
  </si>
  <si>
    <t>Kirsten ser syv store huse</t>
  </si>
  <si>
    <t>x x x store huse</t>
  </si>
  <si>
    <t>Hesten ser syv store huse</t>
  </si>
  <si>
    <t>Linda finder fem nye masker</t>
  </si>
  <si>
    <t>Henning finder fem nye masker</t>
  </si>
  <si>
    <t>x finder fem nye masker</t>
  </si>
  <si>
    <t>Ulla købte tyve hvide jakker</t>
  </si>
  <si>
    <t>Ulla købte tyve nye jakker</t>
  </si>
  <si>
    <t>Michael får tolv smukke planter</t>
  </si>
  <si>
    <t>Anders ejer seks flotte biler</t>
  </si>
  <si>
    <t>Anders greje seks flotte biler</t>
  </si>
  <si>
    <t>Niels låner ti fine gaver</t>
  </si>
  <si>
    <t>x x x x gaver</t>
  </si>
  <si>
    <t>Niels låner tyve  x x</t>
  </si>
  <si>
    <t>x låner ti x gaver</t>
  </si>
  <si>
    <t>Per solgte ni gamle ringe</t>
  </si>
  <si>
    <t>Per solgte fem gamle ringe</t>
  </si>
  <si>
    <t>Birgit valgte tre røde skabe</t>
  </si>
  <si>
    <t>Birte solgte tre røde bakker</t>
  </si>
  <si>
    <t>x fandt tre røde skabe</t>
  </si>
  <si>
    <t>Ingrid vandt otte pæne kasser</t>
  </si>
  <si>
    <t>Anders finder seks store gaver</t>
  </si>
  <si>
    <t>Anders finder fem store gaver</t>
  </si>
  <si>
    <t>Michael ser  tyve gamle blomster</t>
  </si>
  <si>
    <t>Michael ser tyve gamle blomster</t>
  </si>
  <si>
    <t>Michael ser tyve gamle flugter</t>
  </si>
  <si>
    <t xml:space="preserve"> Michael ser tyve gamle blomster</t>
  </si>
  <si>
    <t>Kirsten vandt tolv flotte ringe</t>
  </si>
  <si>
    <t>Kirsten fandt tolv flotte ringe</t>
  </si>
  <si>
    <t>x x fem flotte ringe</t>
  </si>
  <si>
    <t>Iben fandt tolv flotte ringe</t>
  </si>
  <si>
    <t>Ingrid valgte otte hvide planter</t>
  </si>
  <si>
    <t>Ingrid valgte otte fine planter</t>
  </si>
  <si>
    <t>Ingrid valgte otte lede planter</t>
  </si>
  <si>
    <t>Birgit får fem fine masker</t>
  </si>
  <si>
    <t>Birgit får fem gule masker</t>
  </si>
  <si>
    <t>Birgit får fem nye masker</t>
  </si>
  <si>
    <t>Ulla låner syv sjove skabe</t>
  </si>
  <si>
    <t>Ulla låner syv sjove masker</t>
  </si>
  <si>
    <t>Ulla låner seks sjove skabe</t>
  </si>
  <si>
    <t>Henning havde tre nye huse</t>
  </si>
  <si>
    <t>Henning havde to nye huse</t>
  </si>
  <si>
    <t>Linda solgte fjorten røde kasser</t>
  </si>
  <si>
    <t>Vilde solgte tyve sjove kasser</t>
  </si>
  <si>
    <t xml:space="preserve"> Linda solgte fjorten røde kasser</t>
  </si>
  <si>
    <t>Niels ejer ti smukke biler</t>
  </si>
  <si>
    <t>Niels ejer syv smukke biler</t>
  </si>
  <si>
    <t>Niels ejer to smukke biler</t>
  </si>
  <si>
    <t>Per købte ni pæne jakker</t>
  </si>
  <si>
    <t>Per købte x pæne jakker</t>
  </si>
  <si>
    <t>Average correct words</t>
  </si>
  <si>
    <t>Niels ser ti fine jakker</t>
  </si>
  <si>
    <t>Niels ser fem fine jakker</t>
  </si>
  <si>
    <t>Per får tolv store kasser</t>
  </si>
  <si>
    <t>Michael vandt tre nye skabe</t>
  </si>
  <si>
    <t>Michael får tre nye skabe</t>
  </si>
  <si>
    <t>Anders ejer tyve flotte gaver</t>
  </si>
  <si>
    <t>Anders ejer tyve flotte skejrer</t>
  </si>
  <si>
    <t>Henning låner fem smukke ringe</t>
  </si>
  <si>
    <t>x låner fem smukke ringe</t>
  </si>
  <si>
    <t>Linda havde seks sjove masker</t>
  </si>
  <si>
    <t>Linda havde seks sjove fætre</t>
  </si>
  <si>
    <t>Kirsten købte fjorten pæne planter</t>
  </si>
  <si>
    <t>Kirsten købte femten pæne planter</t>
  </si>
  <si>
    <t>x købte fjorten pæne planter</t>
  </si>
  <si>
    <t>x x fjorten pæne planter</t>
  </si>
  <si>
    <t>Ulla finder otte gamle blomster</t>
  </si>
  <si>
    <t>Ulle finder otte gamle blomster</t>
  </si>
  <si>
    <t>Ingrid valgte ni røde biler</t>
  </si>
  <si>
    <t>Ingrid valgte ni røde filer</t>
  </si>
  <si>
    <t>Birgit solgte syv hvide huse</t>
  </si>
  <si>
    <t>Birgit solgte syv fine huse</t>
  </si>
  <si>
    <t>Linda havde ti fine blomster</t>
  </si>
  <si>
    <t>Linda havde fem fine blomster</t>
  </si>
  <si>
    <t>Ulla låner tre flotte ringe</t>
  </si>
  <si>
    <t>Per finder fem store masker</t>
  </si>
  <si>
    <t>Per finder fem store master</t>
  </si>
  <si>
    <t>Michael vandt syv smukke biler</t>
  </si>
  <si>
    <t>Ingrid valgte fjorten sjove jakker</t>
  </si>
  <si>
    <t>Kirsten får otte hvide kasser</t>
  </si>
  <si>
    <t>Kirsten får otte lede kasser</t>
  </si>
  <si>
    <t>Kirsten får otte nye kasser</t>
  </si>
  <si>
    <t>Henning solgte tolv gamle gaver</t>
  </si>
  <si>
    <t>Ingrid solgte tolv gamle gaver</t>
  </si>
  <si>
    <t>Niels ejer tyve pæne huse</t>
  </si>
  <si>
    <t>Anders købte ni nye planter</t>
  </si>
  <si>
    <t>Anders købte ni hvide planter</t>
  </si>
  <si>
    <t>Anders købte ti nye planter</t>
  </si>
  <si>
    <t>Birgit ser seks røde skabe</t>
  </si>
  <si>
    <t>Birgit ser fem røde skabe</t>
  </si>
  <si>
    <t>Niels finder tyve smukke skabe</t>
  </si>
  <si>
    <t>Henning valgte tolv store kasser</t>
  </si>
  <si>
    <t>henning valgte tolv store kasser</t>
  </si>
  <si>
    <t>Linda låner fjorten gamle biler</t>
  </si>
  <si>
    <t>Birgit vandt fem fine huse</t>
  </si>
  <si>
    <t>Ingrid købte ni hvide planter</t>
  </si>
  <si>
    <t>Ingrid købe ni hvide planter</t>
  </si>
  <si>
    <t>Anders ser seks røde jakker</t>
  </si>
  <si>
    <t>Michael får tre nye masker</t>
  </si>
  <si>
    <t>Kirsten solgte syv sjove blomster</t>
  </si>
  <si>
    <t>Kirtsen solgte syv sjove blomster</t>
  </si>
  <si>
    <t>Ulla havde otte pæne gaver</t>
  </si>
  <si>
    <t>Per ejer ti flotte ringe</t>
  </si>
  <si>
    <t>Linda solgte fjorten flotte huse</t>
  </si>
  <si>
    <t>Niels vandt ni hvide blomste</t>
  </si>
  <si>
    <t>Niels vandt ni hvide blosmter</t>
  </si>
  <si>
    <t>Niels vandt ni hvide blomster</t>
  </si>
  <si>
    <t>Ulla havde tolv røde jakker</t>
  </si>
  <si>
    <t>Kirsten købte seks sjove biler</t>
  </si>
  <si>
    <t>Kirsten købte seks sjove filer</t>
  </si>
  <si>
    <t>Per ejer syv store kasser</t>
  </si>
  <si>
    <t>Per ejer x store kasser</t>
  </si>
  <si>
    <t>Ingrid får otte smukke masker</t>
  </si>
  <si>
    <t>Anders finder tre pæne gaver</t>
  </si>
  <si>
    <t>Birgit ser ti gamle skabe</t>
  </si>
  <si>
    <t>Henning låner tyve nye planter</t>
  </si>
  <si>
    <t>Michael valgte fem fine ringe</t>
  </si>
  <si>
    <t>Test person</t>
  </si>
  <si>
    <t>Ulla ejer fem røde jakker</t>
  </si>
  <si>
    <t>procentvis ud af alle fejl</t>
  </si>
  <si>
    <t>Birgit får tre store planter</t>
  </si>
  <si>
    <t>Linda solgte otte flotte huse</t>
  </si>
  <si>
    <t>Michael havde fjorten fine kasser</t>
  </si>
  <si>
    <t>Michael havde fire fine kasser</t>
  </si>
  <si>
    <t>Kirsten ser ni pæne ringe</t>
  </si>
  <si>
    <t>kirsten ser ni pæne ringe</t>
  </si>
  <si>
    <t>Niels finder tyve gamle masker</t>
  </si>
  <si>
    <t>Niels finder tyve gamle masker.</t>
  </si>
  <si>
    <t>Niels finder tyve gamle x</t>
  </si>
  <si>
    <t>Anders valgte seks sjove gaver</t>
  </si>
  <si>
    <t>Anders valgte seks sjove gaver.</t>
  </si>
  <si>
    <t>Henning låner syv smukke skabe</t>
  </si>
  <si>
    <t>Henning låner syv smukke skabe.</t>
  </si>
  <si>
    <t>Ingrid købte tolv hvide biler</t>
  </si>
  <si>
    <t>Per vandt ti nye blomster</t>
  </si>
  <si>
    <t>Per vandt ti nye blosmter.</t>
  </si>
  <si>
    <t>Per vandt ti hvide blomster</t>
  </si>
  <si>
    <t>Per valgte otte pæne masker</t>
  </si>
  <si>
    <t>Michael ejer seks nye huse</t>
  </si>
  <si>
    <t>Linda solgte fem store kasser</t>
  </si>
  <si>
    <t>Linda solgte seks store kasser.</t>
  </si>
  <si>
    <t>Niels købte fjorten gamle jakker</t>
  </si>
  <si>
    <t>Anders vandt tre fine blomster</t>
  </si>
  <si>
    <t>Birgit ser tolv røde skabe</t>
  </si>
  <si>
    <t>Kirsten får ni smukke ringe</t>
  </si>
  <si>
    <t>Ingrid låner ti flotte planter</t>
  </si>
  <si>
    <t>Henning havde syv hvide biler</t>
  </si>
  <si>
    <t>Henning havde syv hvide filer</t>
  </si>
  <si>
    <t>Ulla finder tyve sjove gaver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</si>
</sst>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workbookViewId="0">
      <selection activeCell="F4" sqref="F4"/>
    </sheetView>
  </sheetViews>
  <sheetFormatPr defaultRowHeight="14.45"/>
  <cols>
    <col min="1" max="1" width="31" customWidth="1"/>
    <col min="3" max="3" width="37.28515625" customWidth="1"/>
    <col min="4" max="4" width="17.5703125" customWidth="1"/>
  </cols>
  <sheetData>
    <row r="1" spans="1:6">
      <c r="A1" s="4" t="s">
        <v>0</v>
      </c>
      <c r="B1" s="5" t="s">
        <v>1</v>
      </c>
      <c r="C1" s="4" t="s">
        <v>0</v>
      </c>
      <c r="D1" s="4" t="s">
        <v>2</v>
      </c>
    </row>
    <row r="2" spans="1:6">
      <c r="A2" s="8" t="s">
        <v>3</v>
      </c>
      <c r="B2" s="2">
        <v>1</v>
      </c>
      <c r="C2" s="1" t="s">
        <v>4</v>
      </c>
      <c r="D2" s="1">
        <v>4</v>
      </c>
      <c r="F2" t="s">
        <v>5</v>
      </c>
    </row>
    <row r="3" spans="1:6">
      <c r="A3" s="8"/>
      <c r="B3" s="2">
        <v>2</v>
      </c>
      <c r="C3" s="1" t="s">
        <v>4</v>
      </c>
      <c r="D3" s="1">
        <v>4</v>
      </c>
      <c r="F3">
        <f>1</f>
        <v>1</v>
      </c>
    </row>
    <row r="4" spans="1:6">
      <c r="A4" s="8"/>
      <c r="B4" s="2">
        <v>3</v>
      </c>
      <c r="C4" s="1" t="s">
        <v>3</v>
      </c>
      <c r="D4" s="1">
        <v>5</v>
      </c>
    </row>
    <row r="5" spans="1:6">
      <c r="A5" s="8"/>
      <c r="B5" s="2">
        <v>4</v>
      </c>
      <c r="C5" s="1" t="s">
        <v>3</v>
      </c>
      <c r="D5" s="1">
        <v>5</v>
      </c>
    </row>
    <row r="6" spans="1:6">
      <c r="A6" s="8"/>
      <c r="B6" s="2">
        <v>5</v>
      </c>
      <c r="C6" s="1" t="s">
        <v>3</v>
      </c>
      <c r="D6" s="1">
        <v>5</v>
      </c>
    </row>
    <row r="7" spans="1:6">
      <c r="B7" s="2"/>
      <c r="C7" s="1"/>
      <c r="D7" s="1"/>
    </row>
    <row r="8" spans="1:6">
      <c r="A8" s="8" t="s">
        <v>6</v>
      </c>
      <c r="B8" s="2">
        <v>1</v>
      </c>
      <c r="C8" s="1" t="s">
        <v>7</v>
      </c>
      <c r="D8" s="1">
        <v>5</v>
      </c>
    </row>
    <row r="9" spans="1:6">
      <c r="A9" s="8"/>
      <c r="B9" s="2">
        <v>2</v>
      </c>
      <c r="C9" s="1" t="s">
        <v>6</v>
      </c>
      <c r="D9" s="1">
        <v>5</v>
      </c>
    </row>
    <row r="10" spans="1:6">
      <c r="A10" s="8"/>
      <c r="B10" s="2">
        <v>3</v>
      </c>
      <c r="C10" s="1" t="s">
        <v>8</v>
      </c>
      <c r="D10" s="1">
        <v>5</v>
      </c>
    </row>
    <row r="11" spans="1:6">
      <c r="A11" s="8"/>
      <c r="B11" s="2">
        <v>4</v>
      </c>
      <c r="C11" s="1" t="s">
        <v>6</v>
      </c>
      <c r="D11" s="1">
        <v>5</v>
      </c>
    </row>
    <row r="12" spans="1:6">
      <c r="A12" s="8"/>
      <c r="B12" s="2">
        <v>5</v>
      </c>
      <c r="C12" s="1" t="s">
        <v>6</v>
      </c>
      <c r="D12" s="1">
        <v>5</v>
      </c>
    </row>
    <row r="13" spans="1:6">
      <c r="B13" s="2"/>
      <c r="C13" s="1"/>
      <c r="D13" s="1"/>
    </row>
    <row r="14" spans="1:6">
      <c r="A14" s="8" t="s">
        <v>9</v>
      </c>
      <c r="B14" s="2">
        <v>1</v>
      </c>
      <c r="C14" s="1" t="s">
        <v>9</v>
      </c>
      <c r="D14" s="1">
        <v>5</v>
      </c>
    </row>
    <row r="15" spans="1:6">
      <c r="A15" s="8"/>
      <c r="B15" s="2">
        <v>2</v>
      </c>
      <c r="C15" s="1" t="s">
        <v>9</v>
      </c>
      <c r="D15" s="1">
        <v>5</v>
      </c>
    </row>
    <row r="16" spans="1:6">
      <c r="A16" s="8"/>
      <c r="B16" s="2">
        <v>3</v>
      </c>
      <c r="C16" s="1" t="s">
        <v>9</v>
      </c>
      <c r="D16" s="1">
        <v>5</v>
      </c>
    </row>
    <row r="17" spans="1:4">
      <c r="A17" s="8"/>
      <c r="B17" s="2">
        <v>4</v>
      </c>
      <c r="C17" s="1" t="s">
        <v>9</v>
      </c>
      <c r="D17" s="1">
        <v>5</v>
      </c>
    </row>
    <row r="18" spans="1:4">
      <c r="A18" s="8"/>
      <c r="B18" s="2">
        <v>5</v>
      </c>
      <c r="C18" s="1" t="s">
        <v>9</v>
      </c>
      <c r="D18" s="1">
        <v>5</v>
      </c>
    </row>
    <row r="19" spans="1:4">
      <c r="B19" s="2"/>
      <c r="C19" s="1"/>
      <c r="D19" s="1"/>
    </row>
    <row r="20" spans="1:4">
      <c r="A20" s="8" t="s">
        <v>10</v>
      </c>
      <c r="B20" s="2">
        <v>1</v>
      </c>
      <c r="C20" s="1" t="s">
        <v>11</v>
      </c>
      <c r="D20" s="1">
        <v>5</v>
      </c>
    </row>
    <row r="21" spans="1:4">
      <c r="A21" s="8"/>
      <c r="B21" s="2">
        <v>2</v>
      </c>
      <c r="C21" s="1" t="s">
        <v>10</v>
      </c>
      <c r="D21" s="1">
        <v>5</v>
      </c>
    </row>
    <row r="22" spans="1:4">
      <c r="A22" s="8"/>
      <c r="B22" s="2">
        <v>3</v>
      </c>
      <c r="C22" s="1" t="s">
        <v>10</v>
      </c>
      <c r="D22" s="1">
        <v>5</v>
      </c>
    </row>
    <row r="23" spans="1:4">
      <c r="A23" s="8"/>
      <c r="B23" s="2">
        <v>4</v>
      </c>
      <c r="C23" s="1" t="s">
        <v>10</v>
      </c>
      <c r="D23" s="1">
        <v>5</v>
      </c>
    </row>
    <row r="24" spans="1:4">
      <c r="A24" s="8"/>
      <c r="B24" s="2">
        <v>5</v>
      </c>
      <c r="C24" s="1" t="s">
        <v>10</v>
      </c>
      <c r="D24" s="1">
        <v>5</v>
      </c>
    </row>
    <row r="25" spans="1:4">
      <c r="B25" s="2"/>
      <c r="C25" s="1"/>
      <c r="D25" s="1"/>
    </row>
    <row r="26" spans="1:4">
      <c r="A26" s="8" t="s">
        <v>12</v>
      </c>
      <c r="B26" s="2">
        <v>1</v>
      </c>
      <c r="C26" s="1" t="s">
        <v>12</v>
      </c>
      <c r="D26" s="1">
        <v>5</v>
      </c>
    </row>
    <row r="27" spans="1:4">
      <c r="A27" s="8"/>
      <c r="B27" s="2">
        <v>2</v>
      </c>
      <c r="C27" s="1" t="s">
        <v>12</v>
      </c>
      <c r="D27" s="1">
        <v>5</v>
      </c>
    </row>
    <row r="28" spans="1:4">
      <c r="A28" s="8"/>
      <c r="B28" s="2">
        <v>3</v>
      </c>
      <c r="C28" s="1" t="s">
        <v>12</v>
      </c>
      <c r="D28" s="1">
        <v>5</v>
      </c>
    </row>
    <row r="29" spans="1:4">
      <c r="A29" s="8"/>
      <c r="B29" s="2">
        <v>4</v>
      </c>
      <c r="C29" s="1" t="s">
        <v>12</v>
      </c>
      <c r="D29" s="1">
        <v>5</v>
      </c>
    </row>
    <row r="30" spans="1:4">
      <c r="A30" s="8"/>
      <c r="B30" s="2">
        <v>5</v>
      </c>
      <c r="C30" s="1" t="s">
        <v>12</v>
      </c>
      <c r="D30" s="1">
        <v>5</v>
      </c>
    </row>
    <row r="31" spans="1:4">
      <c r="B31" s="2"/>
      <c r="C31" s="1"/>
      <c r="D31" s="1"/>
    </row>
    <row r="32" spans="1:4">
      <c r="A32" s="8" t="s">
        <v>13</v>
      </c>
      <c r="B32" s="2">
        <v>1</v>
      </c>
      <c r="C32" s="1" t="s">
        <v>14</v>
      </c>
      <c r="D32" s="1">
        <v>5</v>
      </c>
    </row>
    <row r="33" spans="1:4">
      <c r="A33" s="8"/>
      <c r="B33" s="2">
        <v>2</v>
      </c>
      <c r="C33" s="1" t="s">
        <v>13</v>
      </c>
      <c r="D33" s="1">
        <v>5</v>
      </c>
    </row>
    <row r="34" spans="1:4">
      <c r="A34" s="8"/>
      <c r="B34" s="2">
        <v>3</v>
      </c>
      <c r="C34" s="1" t="s">
        <v>15</v>
      </c>
      <c r="D34" s="1">
        <v>4</v>
      </c>
    </row>
    <row r="35" spans="1:4">
      <c r="A35" s="8"/>
      <c r="B35" s="2">
        <v>4</v>
      </c>
      <c r="C35" s="1" t="s">
        <v>13</v>
      </c>
      <c r="D35" s="1">
        <v>5</v>
      </c>
    </row>
    <row r="36" spans="1:4">
      <c r="A36" s="8"/>
      <c r="B36" s="2">
        <v>5</v>
      </c>
      <c r="C36" s="1" t="s">
        <v>13</v>
      </c>
      <c r="D36" s="1">
        <v>5</v>
      </c>
    </row>
    <row r="37" spans="1:4">
      <c r="B37" s="2"/>
      <c r="C37" s="1"/>
      <c r="D37" s="1"/>
    </row>
    <row r="38" spans="1:4">
      <c r="A38" s="8" t="s">
        <v>16</v>
      </c>
      <c r="B38" s="2">
        <v>1</v>
      </c>
      <c r="C38" s="1" t="s">
        <v>16</v>
      </c>
      <c r="D38" s="1">
        <v>5</v>
      </c>
    </row>
    <row r="39" spans="1:4">
      <c r="A39" s="8"/>
      <c r="B39" s="2">
        <v>2</v>
      </c>
      <c r="C39" s="1" t="s">
        <v>16</v>
      </c>
      <c r="D39" s="1">
        <v>5</v>
      </c>
    </row>
    <row r="40" spans="1:4">
      <c r="A40" s="8"/>
      <c r="B40" s="2">
        <v>3</v>
      </c>
      <c r="C40" s="1" t="s">
        <v>16</v>
      </c>
      <c r="D40" s="1">
        <v>5</v>
      </c>
    </row>
    <row r="41" spans="1:4">
      <c r="A41" s="8"/>
      <c r="B41" s="2">
        <v>4</v>
      </c>
      <c r="C41" s="1" t="s">
        <v>16</v>
      </c>
      <c r="D41" s="1">
        <v>5</v>
      </c>
    </row>
    <row r="42" spans="1:4">
      <c r="A42" s="8"/>
      <c r="B42" s="2">
        <v>5</v>
      </c>
      <c r="C42" s="1" t="s">
        <v>16</v>
      </c>
      <c r="D42" s="1">
        <v>5</v>
      </c>
    </row>
    <row r="43" spans="1:4">
      <c r="B43" s="2"/>
      <c r="C43" s="1"/>
      <c r="D43" s="1"/>
    </row>
    <row r="44" spans="1:4">
      <c r="A44" s="8" t="s">
        <v>17</v>
      </c>
      <c r="B44" s="2">
        <v>1</v>
      </c>
      <c r="C44" s="1" t="s">
        <v>17</v>
      </c>
      <c r="D44" s="1">
        <v>5</v>
      </c>
    </row>
    <row r="45" spans="1:4">
      <c r="A45" s="8"/>
      <c r="B45" s="2">
        <v>2</v>
      </c>
      <c r="C45" s="1" t="s">
        <v>17</v>
      </c>
      <c r="D45" s="1">
        <v>5</v>
      </c>
    </row>
    <row r="46" spans="1:4">
      <c r="A46" s="8"/>
      <c r="B46" s="2">
        <v>3</v>
      </c>
      <c r="C46" s="1" t="s">
        <v>17</v>
      </c>
      <c r="D46" s="1">
        <v>5</v>
      </c>
    </row>
    <row r="47" spans="1:4">
      <c r="A47" s="8"/>
      <c r="B47" s="2">
        <v>4</v>
      </c>
      <c r="C47" s="1" t="s">
        <v>17</v>
      </c>
      <c r="D47" s="1">
        <v>5</v>
      </c>
    </row>
    <row r="48" spans="1:4">
      <c r="A48" s="8"/>
      <c r="B48" s="2">
        <v>5</v>
      </c>
      <c r="C48" s="1" t="s">
        <v>17</v>
      </c>
      <c r="D48" s="1">
        <v>5</v>
      </c>
    </row>
    <row r="49" spans="1:4">
      <c r="B49" s="2"/>
      <c r="C49" s="1"/>
      <c r="D49" s="1"/>
    </row>
    <row r="50" spans="1:4">
      <c r="A50" s="8" t="s">
        <v>18</v>
      </c>
      <c r="B50" s="2">
        <v>1</v>
      </c>
      <c r="C50" s="1" t="s">
        <v>18</v>
      </c>
      <c r="D50" s="1">
        <v>5</v>
      </c>
    </row>
    <row r="51" spans="1:4">
      <c r="A51" s="8"/>
      <c r="B51" s="2">
        <v>2</v>
      </c>
      <c r="C51" s="1" t="s">
        <v>18</v>
      </c>
      <c r="D51" s="1">
        <v>5</v>
      </c>
    </row>
    <row r="52" spans="1:4">
      <c r="A52" s="8"/>
      <c r="B52" s="2">
        <v>3</v>
      </c>
      <c r="C52" s="1" t="s">
        <v>18</v>
      </c>
      <c r="D52" s="1">
        <v>5</v>
      </c>
    </row>
    <row r="53" spans="1:4">
      <c r="A53" s="8"/>
      <c r="B53" s="2">
        <v>4</v>
      </c>
      <c r="C53" s="1" t="s">
        <v>18</v>
      </c>
      <c r="D53" s="1">
        <v>5</v>
      </c>
    </row>
    <row r="54" spans="1:4">
      <c r="A54" s="8"/>
      <c r="B54" s="2">
        <v>5</v>
      </c>
      <c r="C54" s="1" t="s">
        <v>18</v>
      </c>
      <c r="D54" s="1">
        <v>5</v>
      </c>
    </row>
    <row r="55" spans="1:4">
      <c r="B55" s="2"/>
      <c r="C55" s="1"/>
      <c r="D55" s="1"/>
    </row>
    <row r="56" spans="1:4">
      <c r="A56" s="8" t="s">
        <v>19</v>
      </c>
      <c r="B56" s="2">
        <v>1</v>
      </c>
      <c r="C56" s="1" t="s">
        <v>19</v>
      </c>
      <c r="D56" s="1">
        <v>5</v>
      </c>
    </row>
    <row r="57" spans="1:4">
      <c r="A57" s="8"/>
      <c r="B57" s="2">
        <v>2</v>
      </c>
      <c r="C57" s="1" t="s">
        <v>20</v>
      </c>
      <c r="D57" s="1">
        <v>5</v>
      </c>
    </row>
    <row r="58" spans="1:4">
      <c r="A58" s="8"/>
      <c r="B58" s="2">
        <v>3</v>
      </c>
      <c r="C58" s="1" t="s">
        <v>19</v>
      </c>
      <c r="D58" s="1">
        <v>5</v>
      </c>
    </row>
    <row r="59" spans="1:4">
      <c r="A59" s="8"/>
      <c r="B59" s="2">
        <v>4</v>
      </c>
      <c r="C59" s="1" t="s">
        <v>19</v>
      </c>
      <c r="D59" s="1">
        <v>5</v>
      </c>
    </row>
    <row r="60" spans="1:4">
      <c r="A60" s="8"/>
      <c r="B60" s="2">
        <v>5</v>
      </c>
      <c r="C60" s="1" t="s">
        <v>19</v>
      </c>
      <c r="D60" s="1">
        <v>5</v>
      </c>
    </row>
    <row r="61" spans="1:4">
      <c r="B61" s="2"/>
      <c r="C61" s="1"/>
      <c r="D61" s="1"/>
    </row>
    <row r="62" spans="1:4">
      <c r="A62" s="8" t="s">
        <v>21</v>
      </c>
      <c r="B62" s="2">
        <v>1</v>
      </c>
      <c r="C62" s="1" t="s">
        <v>21</v>
      </c>
      <c r="D62" s="1">
        <v>5</v>
      </c>
    </row>
    <row r="63" spans="1:4">
      <c r="A63" s="8"/>
      <c r="B63" s="2">
        <v>2</v>
      </c>
      <c r="C63" s="1" t="s">
        <v>21</v>
      </c>
      <c r="D63" s="1">
        <v>5</v>
      </c>
    </row>
    <row r="64" spans="1:4">
      <c r="A64" s="8"/>
      <c r="B64" s="2">
        <v>3</v>
      </c>
      <c r="C64" s="1" t="s">
        <v>21</v>
      </c>
      <c r="D64" s="1">
        <v>5</v>
      </c>
    </row>
    <row r="65" spans="1:4">
      <c r="A65" s="8"/>
      <c r="B65" s="2">
        <v>4</v>
      </c>
      <c r="C65" s="1" t="s">
        <v>22</v>
      </c>
      <c r="D65" s="1">
        <v>4</v>
      </c>
    </row>
    <row r="66" spans="1:4">
      <c r="A66" s="8"/>
      <c r="B66" s="2">
        <v>5</v>
      </c>
      <c r="C66" s="1" t="s">
        <v>21</v>
      </c>
      <c r="D66" s="1">
        <v>5</v>
      </c>
    </row>
    <row r="67" spans="1:4">
      <c r="B67" s="2"/>
      <c r="C67" s="1"/>
      <c r="D67" s="1"/>
    </row>
    <row r="68" spans="1:4">
      <c r="A68" s="8" t="s">
        <v>23</v>
      </c>
      <c r="B68" s="2">
        <v>1</v>
      </c>
      <c r="C68" s="1" t="s">
        <v>24</v>
      </c>
      <c r="D68" s="1">
        <v>5</v>
      </c>
    </row>
    <row r="69" spans="1:4">
      <c r="A69" s="8"/>
      <c r="B69" s="2">
        <v>2</v>
      </c>
      <c r="C69" s="1" t="s">
        <v>24</v>
      </c>
      <c r="D69" s="1">
        <v>5</v>
      </c>
    </row>
    <row r="70" spans="1:4">
      <c r="A70" s="8"/>
      <c r="B70" s="2">
        <v>3</v>
      </c>
      <c r="C70" s="1" t="s">
        <v>24</v>
      </c>
      <c r="D70" s="1">
        <v>5</v>
      </c>
    </row>
    <row r="71" spans="1:4">
      <c r="A71" s="8"/>
      <c r="B71" s="2">
        <v>4</v>
      </c>
      <c r="C71" s="1" t="s">
        <v>24</v>
      </c>
      <c r="D71" s="1">
        <v>5</v>
      </c>
    </row>
    <row r="72" spans="1:4">
      <c r="A72" s="8"/>
      <c r="B72" s="2">
        <v>5</v>
      </c>
      <c r="C72" s="1" t="s">
        <v>24</v>
      </c>
      <c r="D72" s="1">
        <v>5</v>
      </c>
    </row>
    <row r="73" spans="1:4">
      <c r="B73" s="2"/>
      <c r="C73" s="1"/>
      <c r="D73" s="1"/>
    </row>
    <row r="74" spans="1:4">
      <c r="A74" s="8" t="s">
        <v>25</v>
      </c>
      <c r="B74" s="2">
        <v>1</v>
      </c>
      <c r="C74" s="1" t="s">
        <v>26</v>
      </c>
      <c r="D74" s="1">
        <v>5</v>
      </c>
    </row>
    <row r="75" spans="1:4">
      <c r="A75" s="8"/>
      <c r="B75" s="2">
        <v>2</v>
      </c>
      <c r="C75" s="1" t="s">
        <v>25</v>
      </c>
      <c r="D75" s="1">
        <v>5</v>
      </c>
    </row>
    <row r="76" spans="1:4">
      <c r="A76" s="8"/>
      <c r="B76" s="2">
        <v>3</v>
      </c>
      <c r="C76" s="1" t="s">
        <v>25</v>
      </c>
      <c r="D76" s="1">
        <v>5</v>
      </c>
    </row>
    <row r="77" spans="1:4">
      <c r="A77" s="8"/>
      <c r="B77" s="2">
        <v>4</v>
      </c>
      <c r="C77" s="1" t="s">
        <v>27</v>
      </c>
      <c r="D77" s="1">
        <v>4</v>
      </c>
    </row>
    <row r="78" spans="1:4">
      <c r="A78" s="8"/>
      <c r="B78" s="2">
        <v>5</v>
      </c>
      <c r="C78" s="1" t="s">
        <v>25</v>
      </c>
      <c r="D78" s="1">
        <v>5</v>
      </c>
    </row>
    <row r="79" spans="1:4">
      <c r="B79" s="2"/>
      <c r="C79" s="1"/>
      <c r="D79" s="1"/>
    </row>
    <row r="80" spans="1:4">
      <c r="A80" s="8" t="s">
        <v>28</v>
      </c>
      <c r="B80" s="2">
        <v>1</v>
      </c>
      <c r="C80" s="1" t="s">
        <v>28</v>
      </c>
      <c r="D80" s="1">
        <v>5</v>
      </c>
    </row>
    <row r="81" spans="1:4">
      <c r="A81" s="8"/>
      <c r="B81" s="2">
        <v>2</v>
      </c>
      <c r="C81" s="1" t="s">
        <v>28</v>
      </c>
      <c r="D81" s="1">
        <v>5</v>
      </c>
    </row>
    <row r="82" spans="1:4">
      <c r="A82" s="8"/>
      <c r="B82" s="2">
        <v>3</v>
      </c>
      <c r="C82" s="1" t="s">
        <v>28</v>
      </c>
      <c r="D82" s="1">
        <v>5</v>
      </c>
    </row>
    <row r="83" spans="1:4">
      <c r="A83" s="8"/>
      <c r="B83" s="2">
        <v>4</v>
      </c>
      <c r="C83" s="1" t="s">
        <v>28</v>
      </c>
      <c r="D83" s="1">
        <v>5</v>
      </c>
    </row>
    <row r="84" spans="1:4">
      <c r="A84" s="8"/>
      <c r="B84" s="2">
        <v>5</v>
      </c>
      <c r="C84" s="1" t="s">
        <v>28</v>
      </c>
      <c r="D84" s="1">
        <v>5</v>
      </c>
    </row>
    <row r="85" spans="1:4">
      <c r="B85" s="2"/>
      <c r="C85" s="1"/>
      <c r="D85" s="1"/>
    </row>
    <row r="86" spans="1:4">
      <c r="A86" s="8" t="s">
        <v>29</v>
      </c>
      <c r="B86" s="2">
        <v>1</v>
      </c>
      <c r="C86" s="1" t="s">
        <v>30</v>
      </c>
      <c r="D86" s="1">
        <v>5</v>
      </c>
    </row>
    <row r="87" spans="1:4">
      <c r="A87" s="8"/>
      <c r="B87" s="2">
        <v>2</v>
      </c>
      <c r="C87" s="1" t="s">
        <v>30</v>
      </c>
      <c r="D87" s="1">
        <v>5</v>
      </c>
    </row>
    <row r="88" spans="1:4">
      <c r="A88" s="8"/>
      <c r="B88" s="2">
        <v>3</v>
      </c>
      <c r="C88" s="1" t="s">
        <v>30</v>
      </c>
      <c r="D88" s="1">
        <v>5</v>
      </c>
    </row>
    <row r="89" spans="1:4">
      <c r="A89" s="8"/>
      <c r="B89" s="2">
        <v>4</v>
      </c>
      <c r="C89" s="1" t="s">
        <v>30</v>
      </c>
      <c r="D89" s="1">
        <v>5</v>
      </c>
    </row>
    <row r="90" spans="1:4">
      <c r="A90" s="8"/>
      <c r="B90" s="2">
        <v>5</v>
      </c>
      <c r="C90" s="1" t="s">
        <v>30</v>
      </c>
      <c r="D90" s="1">
        <v>5</v>
      </c>
    </row>
    <row r="91" spans="1:4">
      <c r="B91" s="2"/>
      <c r="C91" s="1"/>
      <c r="D91" s="1"/>
    </row>
    <row r="92" spans="1:4">
      <c r="A92" s="8" t="s">
        <v>31</v>
      </c>
      <c r="B92" s="2">
        <v>1</v>
      </c>
      <c r="C92" s="1" t="s">
        <v>32</v>
      </c>
      <c r="D92" s="1">
        <v>5</v>
      </c>
    </row>
    <row r="93" spans="1:4">
      <c r="A93" s="8"/>
      <c r="B93" s="2">
        <v>2</v>
      </c>
      <c r="C93" s="1" t="s">
        <v>31</v>
      </c>
      <c r="D93" s="1">
        <v>5</v>
      </c>
    </row>
    <row r="94" spans="1:4">
      <c r="A94" s="8"/>
      <c r="B94" s="2">
        <v>3</v>
      </c>
      <c r="C94" s="1" t="s">
        <v>31</v>
      </c>
      <c r="D94" s="1">
        <v>5</v>
      </c>
    </row>
    <row r="95" spans="1:4">
      <c r="A95" s="8"/>
      <c r="B95" s="2">
        <v>4</v>
      </c>
      <c r="C95" s="1" t="s">
        <v>31</v>
      </c>
      <c r="D95" s="1">
        <v>5</v>
      </c>
    </row>
    <row r="96" spans="1:4">
      <c r="A96" s="8"/>
      <c r="B96" s="2">
        <v>5</v>
      </c>
      <c r="C96" s="1" t="s">
        <v>31</v>
      </c>
      <c r="D96" s="1">
        <v>5</v>
      </c>
    </row>
    <row r="97" spans="1:4">
      <c r="B97" s="2"/>
      <c r="C97" s="1"/>
      <c r="D97" s="1"/>
    </row>
    <row r="98" spans="1:4">
      <c r="A98" s="8" t="s">
        <v>33</v>
      </c>
      <c r="B98" s="2">
        <v>1</v>
      </c>
      <c r="C98" s="1" t="s">
        <v>33</v>
      </c>
      <c r="D98" s="1">
        <v>5</v>
      </c>
    </row>
    <row r="99" spans="1:4">
      <c r="A99" s="8"/>
      <c r="B99" s="2">
        <v>2</v>
      </c>
      <c r="C99" s="1" t="s">
        <v>33</v>
      </c>
      <c r="D99" s="1">
        <v>5</v>
      </c>
    </row>
    <row r="100" spans="1:4">
      <c r="A100" s="8"/>
      <c r="B100" s="2">
        <v>3</v>
      </c>
      <c r="C100" s="1" t="s">
        <v>33</v>
      </c>
      <c r="D100" s="1">
        <v>5</v>
      </c>
    </row>
    <row r="101" spans="1:4">
      <c r="A101" s="8"/>
      <c r="B101" s="2">
        <v>4</v>
      </c>
      <c r="C101" s="1" t="s">
        <v>33</v>
      </c>
      <c r="D101" s="1">
        <v>5</v>
      </c>
    </row>
    <row r="102" spans="1:4">
      <c r="A102" s="8"/>
      <c r="B102" s="2">
        <v>5</v>
      </c>
      <c r="C102" s="1" t="s">
        <v>33</v>
      </c>
      <c r="D102" s="1">
        <v>5</v>
      </c>
    </row>
    <row r="103" spans="1:4">
      <c r="B103" s="2"/>
      <c r="C103" s="1"/>
      <c r="D103" s="1"/>
    </row>
    <row r="104" spans="1:4">
      <c r="A104" s="8" t="s">
        <v>34</v>
      </c>
      <c r="B104" s="2">
        <v>1</v>
      </c>
      <c r="C104" s="1" t="s">
        <v>34</v>
      </c>
      <c r="D104" s="1">
        <v>5</v>
      </c>
    </row>
    <row r="105" spans="1:4">
      <c r="A105" s="8"/>
      <c r="B105" s="2">
        <v>2</v>
      </c>
      <c r="C105" s="1" t="s">
        <v>34</v>
      </c>
      <c r="D105" s="1">
        <v>5</v>
      </c>
    </row>
    <row r="106" spans="1:4">
      <c r="A106" s="8"/>
      <c r="B106" s="2">
        <v>3</v>
      </c>
      <c r="C106" s="1" t="s">
        <v>34</v>
      </c>
      <c r="D106" s="1">
        <v>5</v>
      </c>
    </row>
    <row r="107" spans="1:4">
      <c r="A107" s="8"/>
      <c r="B107" s="2">
        <v>4</v>
      </c>
      <c r="C107" s="1" t="s">
        <v>34</v>
      </c>
      <c r="D107" s="1">
        <v>5</v>
      </c>
    </row>
    <row r="108" spans="1:4">
      <c r="A108" s="8"/>
      <c r="B108" s="2">
        <v>5</v>
      </c>
      <c r="C108" s="1" t="s">
        <v>34</v>
      </c>
      <c r="D108" s="1">
        <v>5</v>
      </c>
    </row>
    <row r="109" spans="1:4">
      <c r="B109" s="2"/>
      <c r="C109" s="1"/>
      <c r="D109" s="1"/>
    </row>
    <row r="110" spans="1:4">
      <c r="A110" s="8" t="s">
        <v>35</v>
      </c>
      <c r="B110" s="2">
        <v>1</v>
      </c>
      <c r="C110" s="1" t="s">
        <v>35</v>
      </c>
      <c r="D110" s="1">
        <v>5</v>
      </c>
    </row>
    <row r="111" spans="1:4">
      <c r="A111" s="8"/>
      <c r="B111" s="2">
        <v>2</v>
      </c>
      <c r="C111" s="1" t="s">
        <v>35</v>
      </c>
      <c r="D111" s="1">
        <v>5</v>
      </c>
    </row>
    <row r="112" spans="1:4">
      <c r="A112" s="8"/>
      <c r="B112" s="2">
        <v>3</v>
      </c>
      <c r="C112" s="1" t="s">
        <v>35</v>
      </c>
      <c r="D112" s="1">
        <v>5</v>
      </c>
    </row>
    <row r="113" spans="1:4">
      <c r="A113" s="8"/>
      <c r="B113" s="2">
        <v>4</v>
      </c>
      <c r="C113" s="1" t="s">
        <v>35</v>
      </c>
      <c r="D113" s="1">
        <v>5</v>
      </c>
    </row>
    <row r="114" spans="1:4">
      <c r="A114" s="8"/>
      <c r="B114" s="2">
        <v>5</v>
      </c>
      <c r="C114" s="1" t="s">
        <v>35</v>
      </c>
      <c r="D114" s="1">
        <v>5</v>
      </c>
    </row>
    <row r="115" spans="1:4">
      <c r="B115" s="2"/>
      <c r="C115" s="1"/>
      <c r="D115" s="1"/>
    </row>
    <row r="116" spans="1:4">
      <c r="A116" s="8" t="s">
        <v>36</v>
      </c>
      <c r="B116" s="2">
        <v>1</v>
      </c>
      <c r="C116" s="1" t="s">
        <v>36</v>
      </c>
      <c r="D116" s="1">
        <v>5</v>
      </c>
    </row>
    <row r="117" spans="1:4">
      <c r="A117" s="8"/>
      <c r="B117" s="2">
        <v>2</v>
      </c>
      <c r="C117" s="1" t="s">
        <v>36</v>
      </c>
      <c r="D117" s="1">
        <v>5</v>
      </c>
    </row>
    <row r="118" spans="1:4">
      <c r="A118" s="8"/>
      <c r="B118" s="2">
        <v>3</v>
      </c>
      <c r="C118" s="1" t="s">
        <v>36</v>
      </c>
      <c r="D118" s="1">
        <v>5</v>
      </c>
    </row>
    <row r="119" spans="1:4">
      <c r="A119" s="8"/>
      <c r="B119" s="2">
        <v>4</v>
      </c>
      <c r="C119" s="1" t="s">
        <v>36</v>
      </c>
      <c r="D119" s="1">
        <v>5</v>
      </c>
    </row>
    <row r="120" spans="1:4">
      <c r="A120" s="8"/>
      <c r="B120" s="2">
        <v>5</v>
      </c>
      <c r="C120" s="1" t="s">
        <v>36</v>
      </c>
      <c r="D120" s="1">
        <v>5</v>
      </c>
    </row>
    <row r="121" spans="1:4">
      <c r="C121" s="1"/>
      <c r="D121" s="1"/>
    </row>
    <row r="123" spans="1:4">
      <c r="C123" s="1" t="s">
        <v>37</v>
      </c>
      <c r="D123" s="1">
        <f>D116+D110+D104+D98+D92+D86+D80+D74+D68+D62+D56+D50+D44+D38+D32+D26+D20+D14+D8</f>
        <v>95</v>
      </c>
    </row>
    <row r="124" spans="1:4">
      <c r="C124" s="1" t="s">
        <v>38</v>
      </c>
      <c r="D124" s="1">
        <f>D117+D111+D105+D99+D93+D87+D81+D75+D69+D63+D57+D51+D45+D39+D33+D27+D21+D15+D9+D3</f>
        <v>99</v>
      </c>
    </row>
    <row r="125" spans="1:4">
      <c r="C125" s="1" t="s">
        <v>39</v>
      </c>
      <c r="D125" s="1">
        <f>D118+D106+D112+D100+D94+D88+D82+D76+D70+D64+D58+D52+D46+D40+D34+D28+D22+D16+D10+D4</f>
        <v>99</v>
      </c>
    </row>
    <row r="126" spans="1:4">
      <c r="C126" s="1" t="s">
        <v>40</v>
      </c>
      <c r="D126" s="1">
        <f>D119+D107+D113+D101+D95+D89+D83+D77+D71+D65+D59+D53+D47+D41+D35+D29+D23+D17+D11+D5</f>
        <v>98</v>
      </c>
    </row>
    <row r="127" spans="1:4">
      <c r="C127" s="1" t="s">
        <v>41</v>
      </c>
      <c r="D127" s="1">
        <f>D120+D114+D108+D102+D96+D90+D84+D78+D72+D66+D60+D54+D48+D42+D36+D30+D24+D18+D12+D6</f>
        <v>100</v>
      </c>
    </row>
    <row r="128" spans="1:4">
      <c r="C128" s="1" t="s">
        <v>42</v>
      </c>
      <c r="D128" s="1">
        <f>(D124+D125+D126+D127+D123)/5</f>
        <v>98.2</v>
      </c>
    </row>
    <row r="130" spans="3:4">
      <c r="C130" s="1" t="s">
        <v>43</v>
      </c>
      <c r="D130" s="1">
        <f>D123/20</f>
        <v>4.75</v>
      </c>
    </row>
    <row r="131" spans="3:4">
      <c r="C131" s="1" t="s">
        <v>44</v>
      </c>
      <c r="D131" s="1">
        <f>D124/20</f>
        <v>4.95</v>
      </c>
    </row>
    <row r="132" spans="3:4">
      <c r="C132" s="1" t="s">
        <v>45</v>
      </c>
      <c r="D132" s="1">
        <f>D125/20</f>
        <v>4.95</v>
      </c>
    </row>
    <row r="133" spans="3:4">
      <c r="C133" s="1" t="s">
        <v>46</v>
      </c>
      <c r="D133" s="1">
        <f>D126/20</f>
        <v>4.9000000000000004</v>
      </c>
    </row>
    <row r="134" spans="3:4">
      <c r="C134" s="1" t="s">
        <v>47</v>
      </c>
      <c r="D134" s="1">
        <f>D127/20</f>
        <v>5</v>
      </c>
    </row>
    <row r="135" spans="3:4">
      <c r="C135" s="1" t="s">
        <v>48</v>
      </c>
      <c r="D135" s="1">
        <f>SUM(D2:D120)/100</f>
        <v>4.95</v>
      </c>
    </row>
  </sheetData>
  <mergeCells count="20">
    <mergeCell ref="A104:A108"/>
    <mergeCell ref="A110:A114"/>
    <mergeCell ref="A116:A120"/>
    <mergeCell ref="A8:A12"/>
    <mergeCell ref="A68:A72"/>
    <mergeCell ref="A74:A78"/>
    <mergeCell ref="A80:A84"/>
    <mergeCell ref="A86:A90"/>
    <mergeCell ref="A92:A96"/>
    <mergeCell ref="A98:A102"/>
    <mergeCell ref="A38:A42"/>
    <mergeCell ref="A44:A48"/>
    <mergeCell ref="A50:A54"/>
    <mergeCell ref="A56:A60"/>
    <mergeCell ref="A62:A66"/>
    <mergeCell ref="A2:A6"/>
    <mergeCell ref="A14:A18"/>
    <mergeCell ref="A20:A24"/>
    <mergeCell ref="A26:A30"/>
    <mergeCell ref="A32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D65F-9E07-414D-AD73-440017B4384A}">
  <dimension ref="A1:F135"/>
  <sheetViews>
    <sheetView zoomScale="86" workbookViewId="0">
      <selection activeCell="F4" sqref="F4"/>
    </sheetView>
  </sheetViews>
  <sheetFormatPr defaultRowHeight="14.45"/>
  <cols>
    <col min="1" max="1" width="31" customWidth="1"/>
    <col min="2" max="2" width="9.140625" bestFit="1" customWidth="1"/>
    <col min="3" max="3" width="32.28515625" customWidth="1"/>
    <col min="4" max="4" width="17.5703125" customWidth="1"/>
  </cols>
  <sheetData>
    <row r="1" spans="1:6">
      <c r="A1" s="6" t="s">
        <v>0</v>
      </c>
      <c r="B1" s="6" t="s">
        <v>1</v>
      </c>
      <c r="C1" s="6" t="s">
        <v>0</v>
      </c>
      <c r="D1" s="6" t="s">
        <v>2</v>
      </c>
    </row>
    <row r="2" spans="1:6" ht="14.45" customHeight="1">
      <c r="A2" s="8" t="s">
        <v>49</v>
      </c>
      <c r="B2" s="1">
        <v>1</v>
      </c>
      <c r="C2" s="1" t="s">
        <v>49</v>
      </c>
      <c r="D2" s="1">
        <v>5</v>
      </c>
      <c r="F2" t="s">
        <v>5</v>
      </c>
    </row>
    <row r="3" spans="1:6" ht="14.45" customHeight="1">
      <c r="A3" s="8"/>
      <c r="B3" s="1">
        <v>2</v>
      </c>
      <c r="C3" s="1" t="s">
        <v>49</v>
      </c>
      <c r="D3" s="1">
        <v>5</v>
      </c>
      <c r="F3">
        <f>1+1+1+1</f>
        <v>4</v>
      </c>
    </row>
    <row r="4" spans="1:6" ht="14.45" customHeight="1">
      <c r="A4" s="8"/>
      <c r="B4" s="1">
        <v>3</v>
      </c>
      <c r="C4" s="1" t="s">
        <v>49</v>
      </c>
      <c r="D4" s="1">
        <v>5</v>
      </c>
    </row>
    <row r="5" spans="1:6" ht="14.45" customHeight="1">
      <c r="A5" s="8"/>
      <c r="B5" s="1">
        <v>4</v>
      </c>
      <c r="C5" s="1" t="s">
        <v>49</v>
      </c>
      <c r="D5" s="1">
        <v>5</v>
      </c>
    </row>
    <row r="6" spans="1:6" ht="14.45" customHeight="1">
      <c r="A6" s="8"/>
      <c r="B6" s="1">
        <v>5</v>
      </c>
      <c r="C6" s="1" t="s">
        <v>50</v>
      </c>
      <c r="D6" s="1">
        <v>5</v>
      </c>
    </row>
    <row r="7" spans="1:6">
      <c r="B7" s="1"/>
      <c r="C7" s="1"/>
      <c r="D7" s="1"/>
    </row>
    <row r="8" spans="1:6" ht="14.45" customHeight="1">
      <c r="A8" s="8" t="s">
        <v>51</v>
      </c>
      <c r="B8" s="1">
        <v>1</v>
      </c>
      <c r="C8" s="1" t="s">
        <v>52</v>
      </c>
      <c r="D8" s="1">
        <v>5</v>
      </c>
    </row>
    <row r="9" spans="1:6" ht="14.45" customHeight="1">
      <c r="A9" s="8"/>
      <c r="B9" s="1">
        <v>2</v>
      </c>
      <c r="C9" s="1" t="s">
        <v>52</v>
      </c>
      <c r="D9" s="1">
        <v>5</v>
      </c>
    </row>
    <row r="10" spans="1:6" ht="14.45" customHeight="1">
      <c r="A10" s="8"/>
      <c r="B10" s="1">
        <v>3</v>
      </c>
      <c r="C10" s="1" t="s">
        <v>53</v>
      </c>
      <c r="D10" s="1">
        <v>2</v>
      </c>
    </row>
    <row r="11" spans="1:6" ht="14.45" customHeight="1">
      <c r="A11" s="8"/>
      <c r="B11" s="1">
        <v>4</v>
      </c>
      <c r="C11" s="1" t="s">
        <v>52</v>
      </c>
      <c r="D11" s="1">
        <v>5</v>
      </c>
    </row>
    <row r="12" spans="1:6" ht="14.45" customHeight="1">
      <c r="A12" s="8"/>
      <c r="B12" s="1">
        <v>5</v>
      </c>
      <c r="C12" s="1" t="s">
        <v>54</v>
      </c>
      <c r="D12" s="1">
        <v>4</v>
      </c>
    </row>
    <row r="13" spans="1:6">
      <c r="B13" s="1"/>
      <c r="C13" s="1"/>
      <c r="D13" s="1"/>
    </row>
    <row r="14" spans="1:6" ht="14.45" customHeight="1">
      <c r="A14" s="8" t="s">
        <v>55</v>
      </c>
      <c r="B14" s="1">
        <v>1</v>
      </c>
      <c r="C14" s="1" t="s">
        <v>55</v>
      </c>
      <c r="D14" s="1">
        <v>5</v>
      </c>
    </row>
    <row r="15" spans="1:6" ht="14.45" customHeight="1">
      <c r="A15" s="8"/>
      <c r="B15" s="1">
        <v>2</v>
      </c>
      <c r="C15" s="1" t="s">
        <v>56</v>
      </c>
      <c r="D15" s="1">
        <v>4</v>
      </c>
    </row>
    <row r="16" spans="1:6" ht="14.45" customHeight="1">
      <c r="A16" s="8"/>
      <c r="B16" s="1">
        <v>3</v>
      </c>
      <c r="C16" s="1" t="s">
        <v>57</v>
      </c>
      <c r="D16" s="1">
        <v>4</v>
      </c>
    </row>
    <row r="17" spans="1:4" ht="14.45" customHeight="1">
      <c r="A17" s="8"/>
      <c r="B17" s="1">
        <v>4</v>
      </c>
      <c r="C17" s="1" t="s">
        <v>55</v>
      </c>
      <c r="D17" s="1">
        <v>5</v>
      </c>
    </row>
    <row r="18" spans="1:4" ht="14.45" customHeight="1">
      <c r="A18" s="8"/>
      <c r="B18" s="1">
        <v>5</v>
      </c>
      <c r="C18" s="1" t="s">
        <v>55</v>
      </c>
      <c r="D18" s="1">
        <v>5</v>
      </c>
    </row>
    <row r="19" spans="1:4">
      <c r="B19" s="1"/>
      <c r="C19" s="1"/>
      <c r="D19" s="1"/>
    </row>
    <row r="20" spans="1:4" ht="14.45" customHeight="1">
      <c r="A20" s="8" t="s">
        <v>58</v>
      </c>
      <c r="B20" s="1">
        <v>1</v>
      </c>
      <c r="C20" s="1" t="s">
        <v>58</v>
      </c>
      <c r="D20" s="1">
        <v>5</v>
      </c>
    </row>
    <row r="21" spans="1:4" ht="14.45" customHeight="1">
      <c r="A21" s="8"/>
      <c r="B21" s="1">
        <v>2</v>
      </c>
      <c r="C21" s="1" t="s">
        <v>58</v>
      </c>
      <c r="D21" s="1">
        <v>5</v>
      </c>
    </row>
    <row r="22" spans="1:4" ht="14.45" customHeight="1">
      <c r="A22" s="8"/>
      <c r="B22" s="1">
        <v>3</v>
      </c>
      <c r="C22" s="1" t="s">
        <v>59</v>
      </c>
      <c r="D22" s="1">
        <v>4</v>
      </c>
    </row>
    <row r="23" spans="1:4" ht="14.45" customHeight="1">
      <c r="A23" s="8"/>
      <c r="B23" s="1">
        <v>4</v>
      </c>
      <c r="C23" s="1" t="s">
        <v>58</v>
      </c>
      <c r="D23" s="1">
        <v>5</v>
      </c>
    </row>
    <row r="24" spans="1:4" ht="14.45" customHeight="1">
      <c r="A24" s="8"/>
      <c r="B24" s="1">
        <v>5</v>
      </c>
      <c r="C24" s="1" t="s">
        <v>58</v>
      </c>
      <c r="D24" s="1">
        <v>5</v>
      </c>
    </row>
    <row r="25" spans="1:4">
      <c r="B25" s="1"/>
      <c r="C25" s="1"/>
      <c r="D25" s="1"/>
    </row>
    <row r="26" spans="1:4" ht="14.45" customHeight="1">
      <c r="A26" s="8" t="s">
        <v>60</v>
      </c>
      <c r="B26" s="1">
        <v>1</v>
      </c>
      <c r="C26" s="1" t="s">
        <v>60</v>
      </c>
      <c r="D26" s="1">
        <v>5</v>
      </c>
    </row>
    <row r="27" spans="1:4" ht="14.45" customHeight="1">
      <c r="A27" s="8"/>
      <c r="B27" s="1">
        <v>2</v>
      </c>
      <c r="C27" s="1" t="s">
        <v>60</v>
      </c>
      <c r="D27" s="1">
        <v>5</v>
      </c>
    </row>
    <row r="28" spans="1:4" ht="14.45" customHeight="1">
      <c r="A28" s="8"/>
      <c r="B28" s="1">
        <v>3</v>
      </c>
      <c r="C28" s="1" t="s">
        <v>60</v>
      </c>
      <c r="D28" s="1">
        <v>5</v>
      </c>
    </row>
    <row r="29" spans="1:4" ht="14.45" customHeight="1">
      <c r="A29" s="8"/>
      <c r="B29" s="1">
        <v>4</v>
      </c>
      <c r="C29" s="1" t="s">
        <v>60</v>
      </c>
      <c r="D29" s="1">
        <v>5</v>
      </c>
    </row>
    <row r="30" spans="1:4" ht="14.45" customHeight="1">
      <c r="A30" s="8"/>
      <c r="B30" s="1">
        <v>5</v>
      </c>
      <c r="C30" s="1" t="s">
        <v>60</v>
      </c>
      <c r="D30" s="1">
        <v>5</v>
      </c>
    </row>
    <row r="31" spans="1:4">
      <c r="B31" s="1"/>
      <c r="C31" s="1"/>
      <c r="D31" s="1"/>
    </row>
    <row r="32" spans="1:4" ht="14.45" customHeight="1">
      <c r="A32" s="8" t="s">
        <v>61</v>
      </c>
      <c r="B32" s="1">
        <v>1</v>
      </c>
      <c r="C32" s="1" t="s">
        <v>61</v>
      </c>
      <c r="D32" s="1">
        <v>5</v>
      </c>
    </row>
    <row r="33" spans="1:4" ht="14.45" customHeight="1">
      <c r="A33" s="8"/>
      <c r="B33" s="1">
        <v>2</v>
      </c>
      <c r="C33" s="1" t="s">
        <v>61</v>
      </c>
      <c r="D33" s="1">
        <v>5</v>
      </c>
    </row>
    <row r="34" spans="1:4" ht="14.45" customHeight="1">
      <c r="A34" s="8"/>
      <c r="B34" s="1">
        <v>3</v>
      </c>
      <c r="C34" s="1" t="s">
        <v>62</v>
      </c>
      <c r="D34" s="1">
        <v>4</v>
      </c>
    </row>
    <row r="35" spans="1:4" ht="14.45" customHeight="1">
      <c r="A35" s="8"/>
      <c r="B35" s="1">
        <v>4</v>
      </c>
      <c r="C35" s="1" t="s">
        <v>61</v>
      </c>
      <c r="D35" s="1">
        <v>5</v>
      </c>
    </row>
    <row r="36" spans="1:4" ht="14.45" customHeight="1">
      <c r="A36" s="8"/>
      <c r="B36" s="1">
        <v>5</v>
      </c>
      <c r="C36" s="1" t="s">
        <v>61</v>
      </c>
      <c r="D36" s="1">
        <v>5</v>
      </c>
    </row>
    <row r="37" spans="1:4">
      <c r="B37" s="1"/>
      <c r="C37" s="1"/>
      <c r="D37" s="1"/>
    </row>
    <row r="38" spans="1:4" ht="14.45" customHeight="1">
      <c r="A38" s="8" t="s">
        <v>63</v>
      </c>
      <c r="B38" s="1">
        <v>1</v>
      </c>
      <c r="C38" s="1" t="s">
        <v>63</v>
      </c>
      <c r="D38" s="1">
        <v>5</v>
      </c>
    </row>
    <row r="39" spans="1:4" ht="14.45" customHeight="1">
      <c r="A39" s="8"/>
      <c r="B39" s="1">
        <v>2</v>
      </c>
      <c r="C39" s="1" t="s">
        <v>63</v>
      </c>
      <c r="D39" s="1">
        <v>5</v>
      </c>
    </row>
    <row r="40" spans="1:4" ht="14.45" customHeight="1">
      <c r="A40" s="8"/>
      <c r="B40" s="1">
        <v>3</v>
      </c>
      <c r="C40" s="1" t="s">
        <v>64</v>
      </c>
      <c r="D40" s="1">
        <v>1</v>
      </c>
    </row>
    <row r="41" spans="1:4" ht="14.45" customHeight="1">
      <c r="A41" s="8"/>
      <c r="B41" s="1">
        <v>4</v>
      </c>
      <c r="C41" s="1" t="s">
        <v>65</v>
      </c>
      <c r="D41" s="1">
        <v>2</v>
      </c>
    </row>
    <row r="42" spans="1:4" ht="14.45" customHeight="1">
      <c r="A42" s="8"/>
      <c r="B42" s="1">
        <v>5</v>
      </c>
      <c r="C42" s="1" t="s">
        <v>66</v>
      </c>
      <c r="D42" s="1">
        <v>3</v>
      </c>
    </row>
    <row r="43" spans="1:4" ht="14.45" customHeight="1">
      <c r="B43" s="1"/>
      <c r="C43" s="1"/>
      <c r="D43" s="1"/>
    </row>
    <row r="44" spans="1:4" ht="14.45" customHeight="1">
      <c r="A44" s="8" t="s">
        <v>67</v>
      </c>
      <c r="B44" s="1">
        <v>1</v>
      </c>
      <c r="C44" s="1" t="s">
        <v>67</v>
      </c>
      <c r="D44" s="1">
        <v>5</v>
      </c>
    </row>
    <row r="45" spans="1:4" ht="14.45" customHeight="1">
      <c r="A45" s="8"/>
      <c r="B45" s="1">
        <v>2</v>
      </c>
      <c r="C45" s="1" t="s">
        <v>67</v>
      </c>
      <c r="D45" s="1">
        <v>5</v>
      </c>
    </row>
    <row r="46" spans="1:4" ht="14.45" customHeight="1">
      <c r="A46" s="8"/>
      <c r="B46" s="1">
        <v>3</v>
      </c>
      <c r="C46" s="1" t="s">
        <v>68</v>
      </c>
      <c r="D46" s="1">
        <v>4</v>
      </c>
    </row>
    <row r="47" spans="1:4" ht="14.45" customHeight="1">
      <c r="A47" s="8"/>
      <c r="B47" s="1">
        <v>4</v>
      </c>
      <c r="C47" s="1" t="s">
        <v>67</v>
      </c>
      <c r="D47" s="1">
        <v>5</v>
      </c>
    </row>
    <row r="48" spans="1:4" ht="14.45" customHeight="1">
      <c r="A48" s="8"/>
      <c r="B48" s="1">
        <v>5</v>
      </c>
      <c r="C48" s="1" t="s">
        <v>67</v>
      </c>
      <c r="D48" s="1">
        <v>5</v>
      </c>
    </row>
    <row r="49" spans="1:4">
      <c r="B49" s="1"/>
      <c r="C49" s="1"/>
      <c r="D49" s="1"/>
    </row>
    <row r="50" spans="1:4" ht="14.45" customHeight="1">
      <c r="A50" s="8" t="s">
        <v>69</v>
      </c>
      <c r="B50" s="1">
        <v>1</v>
      </c>
      <c r="C50" s="1" t="s">
        <v>69</v>
      </c>
      <c r="D50" s="1">
        <v>5</v>
      </c>
    </row>
    <row r="51" spans="1:4" ht="14.45" customHeight="1">
      <c r="A51" s="8"/>
      <c r="B51" s="1">
        <v>2</v>
      </c>
      <c r="C51" s="1" t="s">
        <v>69</v>
      </c>
      <c r="D51" s="1">
        <v>5</v>
      </c>
    </row>
    <row r="52" spans="1:4" ht="14.45" customHeight="1">
      <c r="A52" s="8"/>
      <c r="B52" s="1">
        <v>3</v>
      </c>
      <c r="C52" s="1" t="s">
        <v>70</v>
      </c>
      <c r="D52" s="1">
        <v>2</v>
      </c>
    </row>
    <row r="53" spans="1:4" ht="14.45" customHeight="1">
      <c r="A53" s="8"/>
      <c r="B53" s="1">
        <v>4</v>
      </c>
      <c r="C53" s="1" t="s">
        <v>69</v>
      </c>
      <c r="D53" s="1">
        <v>5</v>
      </c>
    </row>
    <row r="54" spans="1:4" ht="14.45" customHeight="1">
      <c r="A54" s="8"/>
      <c r="B54" s="1">
        <v>5</v>
      </c>
      <c r="C54" s="1" t="s">
        <v>71</v>
      </c>
      <c r="D54" s="1">
        <v>3</v>
      </c>
    </row>
    <row r="55" spans="1:4">
      <c r="B55" s="1"/>
      <c r="C55" s="1"/>
      <c r="D55" s="1"/>
    </row>
    <row r="56" spans="1:4" ht="14.45" customHeight="1">
      <c r="A56" s="8" t="s">
        <v>72</v>
      </c>
      <c r="B56" s="1">
        <v>1</v>
      </c>
      <c r="C56" s="1" t="s">
        <v>72</v>
      </c>
      <c r="D56" s="1">
        <v>5</v>
      </c>
    </row>
    <row r="57" spans="1:4" ht="14.45" customHeight="1">
      <c r="A57" s="8"/>
      <c r="B57" s="1">
        <v>2</v>
      </c>
      <c r="C57" s="1" t="s">
        <v>72</v>
      </c>
      <c r="D57" s="1">
        <v>5</v>
      </c>
    </row>
    <row r="58" spans="1:4" ht="14.45" customHeight="1">
      <c r="A58" s="8"/>
      <c r="B58" s="1">
        <v>3</v>
      </c>
      <c r="C58" s="1" t="s">
        <v>72</v>
      </c>
      <c r="D58" s="1">
        <v>5</v>
      </c>
    </row>
    <row r="59" spans="1:4" ht="14.45" customHeight="1">
      <c r="A59" s="8"/>
      <c r="B59" s="1">
        <v>4</v>
      </c>
      <c r="C59" s="1" t="s">
        <v>72</v>
      </c>
      <c r="D59" s="1">
        <v>5</v>
      </c>
    </row>
    <row r="60" spans="1:4" ht="14.45" customHeight="1">
      <c r="A60" s="8"/>
      <c r="B60" s="1">
        <v>5</v>
      </c>
      <c r="C60" s="1" t="s">
        <v>72</v>
      </c>
      <c r="D60" s="1">
        <v>5</v>
      </c>
    </row>
    <row r="61" spans="1:4">
      <c r="B61" s="1"/>
      <c r="C61" s="1"/>
      <c r="D61" s="1"/>
    </row>
    <row r="62" spans="1:4" ht="14.45" customHeight="1">
      <c r="A62" s="8" t="s">
        <v>73</v>
      </c>
      <c r="B62" s="1">
        <v>1</v>
      </c>
      <c r="C62" s="1" t="s">
        <v>74</v>
      </c>
      <c r="D62" s="1">
        <v>4</v>
      </c>
    </row>
    <row r="63" spans="1:4" ht="14.45" customHeight="1">
      <c r="A63" s="8"/>
      <c r="B63" s="1">
        <v>2</v>
      </c>
      <c r="C63" s="1" t="s">
        <v>73</v>
      </c>
      <c r="D63" s="1">
        <v>5</v>
      </c>
    </row>
    <row r="64" spans="1:4" ht="14.45" customHeight="1">
      <c r="A64" s="8"/>
      <c r="B64" s="1">
        <v>3</v>
      </c>
      <c r="C64" s="1" t="s">
        <v>74</v>
      </c>
      <c r="D64" s="1">
        <v>4</v>
      </c>
    </row>
    <row r="65" spans="1:4" ht="14.45" customHeight="1">
      <c r="A65" s="8"/>
      <c r="B65" s="1">
        <v>4</v>
      </c>
      <c r="C65" s="1" t="s">
        <v>73</v>
      </c>
      <c r="D65" s="1">
        <v>5</v>
      </c>
    </row>
    <row r="66" spans="1:4" ht="14.45" customHeight="1">
      <c r="A66" s="8"/>
      <c r="B66" s="1">
        <v>5</v>
      </c>
      <c r="C66" s="1" t="s">
        <v>73</v>
      </c>
      <c r="D66" s="1">
        <v>5</v>
      </c>
    </row>
    <row r="67" spans="1:4">
      <c r="B67" s="1"/>
      <c r="C67" s="1"/>
      <c r="D67" s="1"/>
    </row>
    <row r="68" spans="1:4" ht="14.45" customHeight="1">
      <c r="A68" s="8" t="s">
        <v>75</v>
      </c>
      <c r="B68" s="1">
        <v>1</v>
      </c>
      <c r="C68" s="1" t="s">
        <v>76</v>
      </c>
      <c r="D68" s="1">
        <v>5</v>
      </c>
    </row>
    <row r="69" spans="1:4" ht="14.45" customHeight="1">
      <c r="A69" s="8"/>
      <c r="B69" s="1">
        <v>2</v>
      </c>
      <c r="C69" s="1" t="s">
        <v>76</v>
      </c>
      <c r="D69" s="1">
        <v>5</v>
      </c>
    </row>
    <row r="70" spans="1:4" ht="14.45" customHeight="1">
      <c r="A70" s="8"/>
      <c r="B70" s="1">
        <v>3</v>
      </c>
      <c r="C70" s="1" t="s">
        <v>77</v>
      </c>
      <c r="D70" s="1">
        <v>4</v>
      </c>
    </row>
    <row r="71" spans="1:4" ht="14.45" customHeight="1">
      <c r="A71" s="8"/>
      <c r="B71" s="1">
        <v>4</v>
      </c>
      <c r="C71" s="1" t="s">
        <v>76</v>
      </c>
      <c r="D71" s="1">
        <v>5</v>
      </c>
    </row>
    <row r="72" spans="1:4" ht="14.45" customHeight="1">
      <c r="A72" s="8"/>
      <c r="B72" s="1">
        <v>5</v>
      </c>
      <c r="C72" s="1" t="s">
        <v>78</v>
      </c>
      <c r="D72" s="1">
        <v>5</v>
      </c>
    </row>
    <row r="73" spans="1:4">
      <c r="A73" s="3"/>
      <c r="B73" s="1"/>
      <c r="C73" s="1"/>
      <c r="D73" s="1"/>
    </row>
    <row r="74" spans="1:4" ht="14.45" customHeight="1">
      <c r="A74" s="8" t="s">
        <v>79</v>
      </c>
      <c r="B74" s="1">
        <v>1</v>
      </c>
      <c r="C74" s="1" t="s">
        <v>80</v>
      </c>
      <c r="D74" s="1">
        <v>4</v>
      </c>
    </row>
    <row r="75" spans="1:4" ht="14.45" customHeight="1">
      <c r="A75" s="8"/>
      <c r="B75" s="1">
        <v>2</v>
      </c>
      <c r="C75" s="1" t="s">
        <v>80</v>
      </c>
      <c r="D75" s="1">
        <v>4</v>
      </c>
    </row>
    <row r="76" spans="1:4" ht="14.45" customHeight="1">
      <c r="A76" s="8"/>
      <c r="B76" s="1">
        <v>3</v>
      </c>
      <c r="C76" s="1" t="s">
        <v>81</v>
      </c>
      <c r="D76" s="1">
        <v>2</v>
      </c>
    </row>
    <row r="77" spans="1:4" ht="14.45" customHeight="1">
      <c r="A77" s="8"/>
      <c r="B77" s="1">
        <v>4</v>
      </c>
      <c r="C77" s="1" t="s">
        <v>80</v>
      </c>
      <c r="D77" s="1">
        <v>4</v>
      </c>
    </row>
    <row r="78" spans="1:4" ht="14.45" customHeight="1">
      <c r="A78" s="8"/>
      <c r="B78" s="1">
        <v>5</v>
      </c>
      <c r="C78" s="1" t="s">
        <v>82</v>
      </c>
      <c r="D78" s="1">
        <v>3</v>
      </c>
    </row>
    <row r="79" spans="1:4">
      <c r="A79" s="3"/>
      <c r="B79" s="1"/>
      <c r="C79" s="1"/>
      <c r="D79" s="1"/>
    </row>
    <row r="80" spans="1:4" ht="14.45" customHeight="1">
      <c r="A80" s="8" t="s">
        <v>83</v>
      </c>
      <c r="B80" s="1">
        <v>1</v>
      </c>
      <c r="C80" s="1" t="s">
        <v>83</v>
      </c>
      <c r="D80" s="1">
        <v>5</v>
      </c>
    </row>
    <row r="81" spans="1:4" ht="14.45" customHeight="1">
      <c r="A81" s="8"/>
      <c r="B81" s="1">
        <v>2</v>
      </c>
      <c r="C81" s="1" t="s">
        <v>83</v>
      </c>
      <c r="D81" s="1">
        <v>5</v>
      </c>
    </row>
    <row r="82" spans="1:4" ht="14.45" customHeight="1">
      <c r="A82" s="8"/>
      <c r="B82" s="1">
        <v>3</v>
      </c>
      <c r="C82" s="1" t="s">
        <v>84</v>
      </c>
      <c r="D82" s="1">
        <v>4</v>
      </c>
    </row>
    <row r="83" spans="1:4" ht="14.45" customHeight="1">
      <c r="A83" s="8"/>
      <c r="B83" s="1">
        <v>4</v>
      </c>
      <c r="C83" s="1" t="s">
        <v>85</v>
      </c>
      <c r="D83" s="1">
        <v>4</v>
      </c>
    </row>
    <row r="84" spans="1:4" ht="14.45" customHeight="1">
      <c r="A84" s="8"/>
      <c r="B84" s="1">
        <v>5</v>
      </c>
      <c r="C84" s="1" t="s">
        <v>83</v>
      </c>
      <c r="D84" s="1">
        <v>5</v>
      </c>
    </row>
    <row r="85" spans="1:4">
      <c r="A85" s="3"/>
      <c r="B85" s="1"/>
      <c r="C85" s="1"/>
      <c r="D85" s="1"/>
    </row>
    <row r="86" spans="1:4" ht="14.45" customHeight="1">
      <c r="A86" s="8" t="s">
        <v>86</v>
      </c>
      <c r="B86" s="1">
        <v>1</v>
      </c>
      <c r="C86" s="1" t="s">
        <v>86</v>
      </c>
      <c r="D86" s="1">
        <v>5</v>
      </c>
    </row>
    <row r="87" spans="1:4" ht="14.45" customHeight="1">
      <c r="A87" s="8"/>
      <c r="B87" s="1">
        <v>2</v>
      </c>
      <c r="C87" s="1" t="s">
        <v>86</v>
      </c>
      <c r="D87" s="1">
        <v>5</v>
      </c>
    </row>
    <row r="88" spans="1:4" ht="14.45" customHeight="1">
      <c r="A88" s="8"/>
      <c r="B88" s="1">
        <v>3</v>
      </c>
      <c r="C88" s="1" t="s">
        <v>87</v>
      </c>
      <c r="D88" s="1">
        <v>4</v>
      </c>
    </row>
    <row r="89" spans="1:4" ht="14.45" customHeight="1">
      <c r="A89" s="8"/>
      <c r="B89" s="1">
        <v>4</v>
      </c>
      <c r="C89" s="1" t="s">
        <v>86</v>
      </c>
      <c r="D89" s="1">
        <v>5</v>
      </c>
    </row>
    <row r="90" spans="1:4" ht="14.45" customHeight="1">
      <c r="A90" s="8"/>
      <c r="B90" s="1">
        <v>5</v>
      </c>
      <c r="C90" s="1" t="s">
        <v>88</v>
      </c>
      <c r="D90" s="1">
        <v>4</v>
      </c>
    </row>
    <row r="91" spans="1:4">
      <c r="A91" s="3"/>
      <c r="B91" s="1"/>
      <c r="C91" s="1"/>
      <c r="D91" s="1"/>
    </row>
    <row r="92" spans="1:4" ht="14.45" customHeight="1">
      <c r="A92" s="8" t="s">
        <v>89</v>
      </c>
      <c r="B92" s="1">
        <v>1</v>
      </c>
      <c r="C92" s="1" t="s">
        <v>89</v>
      </c>
      <c r="D92" s="1">
        <v>5</v>
      </c>
    </row>
    <row r="93" spans="1:4" ht="14.45" customHeight="1">
      <c r="A93" s="8"/>
      <c r="B93" s="1">
        <v>2</v>
      </c>
      <c r="C93" s="1" t="s">
        <v>89</v>
      </c>
      <c r="D93" s="1">
        <v>5</v>
      </c>
    </row>
    <row r="94" spans="1:4" ht="14.45" customHeight="1">
      <c r="A94" s="8"/>
      <c r="B94" s="1">
        <v>3</v>
      </c>
      <c r="C94" s="1" t="s">
        <v>90</v>
      </c>
      <c r="D94" s="1">
        <v>4</v>
      </c>
    </row>
    <row r="95" spans="1:4" ht="14.45" customHeight="1">
      <c r="A95" s="8"/>
      <c r="B95" s="1">
        <v>4</v>
      </c>
      <c r="C95" s="1" t="s">
        <v>89</v>
      </c>
      <c r="D95" s="1">
        <v>5</v>
      </c>
    </row>
    <row r="96" spans="1:4" ht="14.45" customHeight="1">
      <c r="A96" s="8"/>
      <c r="B96" s="1">
        <v>5</v>
      </c>
      <c r="C96" s="1" t="s">
        <v>91</v>
      </c>
      <c r="D96" s="1">
        <v>4</v>
      </c>
    </row>
    <row r="97" spans="1:4">
      <c r="A97" s="3"/>
      <c r="B97" s="1"/>
      <c r="C97" s="1"/>
      <c r="D97" s="1"/>
    </row>
    <row r="98" spans="1:4" ht="14.45" customHeight="1">
      <c r="A98" s="8" t="s">
        <v>92</v>
      </c>
      <c r="B98" s="1">
        <v>1</v>
      </c>
      <c r="C98" s="1" t="s">
        <v>92</v>
      </c>
      <c r="D98" s="1">
        <v>5</v>
      </c>
    </row>
    <row r="99" spans="1:4" ht="14.45" customHeight="1">
      <c r="A99" s="8"/>
      <c r="B99" s="1">
        <v>2</v>
      </c>
      <c r="C99" s="1" t="s">
        <v>92</v>
      </c>
      <c r="D99" s="1">
        <v>5</v>
      </c>
    </row>
    <row r="100" spans="1:4" ht="14.45" customHeight="1">
      <c r="A100" s="8"/>
      <c r="B100" s="1">
        <v>3</v>
      </c>
      <c r="C100" s="1" t="s">
        <v>93</v>
      </c>
      <c r="D100" s="1">
        <v>4</v>
      </c>
    </row>
    <row r="101" spans="1:4" ht="14.45" customHeight="1">
      <c r="A101" s="8"/>
      <c r="B101" s="1">
        <v>4</v>
      </c>
      <c r="C101" s="1" t="s">
        <v>92</v>
      </c>
      <c r="D101" s="1">
        <v>5</v>
      </c>
    </row>
    <row r="102" spans="1:4" ht="14.45" customHeight="1">
      <c r="A102" s="8"/>
      <c r="B102" s="1">
        <v>5</v>
      </c>
      <c r="C102" s="1" t="s">
        <v>92</v>
      </c>
      <c r="D102" s="1">
        <v>5</v>
      </c>
    </row>
    <row r="103" spans="1:4">
      <c r="A103" s="3"/>
      <c r="B103" s="1"/>
      <c r="C103" s="1"/>
      <c r="D103" s="1"/>
    </row>
    <row r="104" spans="1:4" ht="14.45" customHeight="1">
      <c r="A104" s="8" t="s">
        <v>94</v>
      </c>
      <c r="B104" s="1">
        <v>1</v>
      </c>
      <c r="C104" s="1" t="s">
        <v>94</v>
      </c>
      <c r="D104" s="1">
        <v>5</v>
      </c>
    </row>
    <row r="105" spans="1:4" ht="14.45" customHeight="1">
      <c r="A105" s="8"/>
      <c r="B105" s="1">
        <v>2</v>
      </c>
      <c r="C105" s="1" t="s">
        <v>94</v>
      </c>
      <c r="D105" s="1">
        <v>5</v>
      </c>
    </row>
    <row r="106" spans="1:4" ht="14.45" customHeight="1">
      <c r="A106" s="8"/>
      <c r="B106" s="1">
        <v>3</v>
      </c>
      <c r="C106" s="1" t="s">
        <v>95</v>
      </c>
      <c r="D106" s="1">
        <v>2</v>
      </c>
    </row>
    <row r="107" spans="1:4" ht="14.45" customHeight="1">
      <c r="A107" s="8"/>
      <c r="B107" s="1">
        <v>4</v>
      </c>
      <c r="C107" s="1" t="s">
        <v>94</v>
      </c>
      <c r="D107" s="1">
        <v>5</v>
      </c>
    </row>
    <row r="108" spans="1:4" ht="14.45" customHeight="1">
      <c r="A108" s="8"/>
      <c r="B108" s="1">
        <v>5</v>
      </c>
      <c r="C108" s="1" t="s">
        <v>96</v>
      </c>
      <c r="D108" s="1">
        <v>5</v>
      </c>
    </row>
    <row r="109" spans="1:4">
      <c r="A109" s="3"/>
      <c r="B109" s="1"/>
      <c r="C109" s="1"/>
      <c r="D109" s="1"/>
    </row>
    <row r="110" spans="1:4" ht="14.45" customHeight="1">
      <c r="A110" s="8" t="s">
        <v>97</v>
      </c>
      <c r="B110" s="1">
        <v>1</v>
      </c>
      <c r="C110" s="1" t="s">
        <v>98</v>
      </c>
      <c r="D110" s="1">
        <v>4</v>
      </c>
    </row>
    <row r="111" spans="1:4" ht="14.45" customHeight="1">
      <c r="A111" s="8"/>
      <c r="B111" s="1">
        <v>2</v>
      </c>
      <c r="C111" s="1" t="s">
        <v>97</v>
      </c>
      <c r="D111" s="1">
        <v>5</v>
      </c>
    </row>
    <row r="112" spans="1:4" ht="14.45" customHeight="1">
      <c r="A112" s="8"/>
      <c r="B112" s="1">
        <v>3</v>
      </c>
      <c r="C112" s="1" t="s">
        <v>99</v>
      </c>
      <c r="D112" s="1">
        <v>4</v>
      </c>
    </row>
    <row r="113" spans="1:4" ht="14.45" customHeight="1">
      <c r="A113" s="8"/>
      <c r="B113" s="1">
        <v>4</v>
      </c>
      <c r="C113" s="1" t="s">
        <v>97</v>
      </c>
      <c r="D113" s="1">
        <v>5</v>
      </c>
    </row>
    <row r="114" spans="1:4" ht="14.45" customHeight="1">
      <c r="A114" s="8"/>
      <c r="B114" s="1">
        <v>5</v>
      </c>
      <c r="C114" s="1" t="s">
        <v>97</v>
      </c>
      <c r="D114" s="1">
        <v>5</v>
      </c>
    </row>
    <row r="115" spans="1:4">
      <c r="A115" s="3"/>
      <c r="B115" s="1"/>
      <c r="C115" s="1"/>
      <c r="D115" s="1"/>
    </row>
    <row r="116" spans="1:4" ht="14.45" customHeight="1">
      <c r="A116" s="8" t="s">
        <v>100</v>
      </c>
      <c r="B116" s="1">
        <v>1</v>
      </c>
      <c r="C116" s="1" t="s">
        <v>100</v>
      </c>
      <c r="D116" s="1">
        <v>5</v>
      </c>
    </row>
    <row r="117" spans="1:4" ht="14.45" customHeight="1">
      <c r="A117" s="8"/>
      <c r="B117" s="1">
        <v>2</v>
      </c>
      <c r="C117" s="1" t="s">
        <v>100</v>
      </c>
      <c r="D117" s="1">
        <v>5</v>
      </c>
    </row>
    <row r="118" spans="1:4" ht="14.45" customHeight="1">
      <c r="A118" s="8"/>
      <c r="B118" s="1">
        <v>3</v>
      </c>
      <c r="C118" s="1" t="s">
        <v>100</v>
      </c>
      <c r="D118" s="1">
        <v>5</v>
      </c>
    </row>
    <row r="119" spans="1:4" ht="14.45" customHeight="1">
      <c r="A119" s="8"/>
      <c r="B119" s="1">
        <v>4</v>
      </c>
      <c r="C119" s="1" t="s">
        <v>100</v>
      </c>
      <c r="D119" s="1">
        <v>5</v>
      </c>
    </row>
    <row r="120" spans="1:4" ht="14.45" customHeight="1">
      <c r="A120" s="8"/>
      <c r="B120" s="1">
        <v>5</v>
      </c>
      <c r="C120" s="1" t="s">
        <v>101</v>
      </c>
      <c r="D120" s="1">
        <v>4</v>
      </c>
    </row>
    <row r="121" spans="1:4">
      <c r="C121" s="1"/>
      <c r="D121" s="1"/>
    </row>
    <row r="123" spans="1:4">
      <c r="C123" s="1" t="s">
        <v>37</v>
      </c>
      <c r="D123" s="1">
        <f>D116+D110+D104+D98+D92+D86+D80+D74+D68+D62+D56+D50+D44+D38+D32+D26+D20+D14+D8</f>
        <v>92</v>
      </c>
    </row>
    <row r="124" spans="1:4">
      <c r="C124" s="1" t="s">
        <v>38</v>
      </c>
      <c r="D124" s="1">
        <f>D117+D111+D105+D99+D93+D87+D81+D75+D69+D63+D57+D51+D45+D39+D33+D27+D21+D15+D9+D3</f>
        <v>98</v>
      </c>
    </row>
    <row r="125" spans="1:4">
      <c r="C125" s="1" t="s">
        <v>39</v>
      </c>
      <c r="D125" s="1">
        <f>D118+D106+D112+D100+D94+D88+D82+D76+D70+D64+D58+D52+D46+D40+D34+D28+D22+D16+D10+D4</f>
        <v>73</v>
      </c>
    </row>
    <row r="126" spans="1:4">
      <c r="C126" s="1" t="s">
        <v>40</v>
      </c>
      <c r="D126" s="1">
        <f>D119+D107+D113+D101+D95+D89+D83+D77+D71+D65+D59+D53+D47+D41+D35+D29+D23+D17+D11+D5</f>
        <v>95</v>
      </c>
    </row>
    <row r="127" spans="1:4">
      <c r="C127" s="1" t="s">
        <v>41</v>
      </c>
      <c r="D127" s="1">
        <f>D120+D114+D108+D102+D96+D90+D84+D78+D72+D66+D60+D54+D48+D42+D36+D30+D24+D18+D12+D6</f>
        <v>90</v>
      </c>
    </row>
    <row r="128" spans="1:4">
      <c r="C128" s="1" t="s">
        <v>42</v>
      </c>
      <c r="D128" s="1">
        <f>(D123+D124+D125+D127++D126)/5</f>
        <v>89.6</v>
      </c>
    </row>
    <row r="130" spans="3:4">
      <c r="C130" s="1" t="s">
        <v>43</v>
      </c>
      <c r="D130" s="1">
        <f>D123/20</f>
        <v>4.5999999999999996</v>
      </c>
    </row>
    <row r="131" spans="3:4">
      <c r="C131" s="1" t="s">
        <v>44</v>
      </c>
      <c r="D131" s="1">
        <f>D124/20</f>
        <v>4.9000000000000004</v>
      </c>
    </row>
    <row r="132" spans="3:4">
      <c r="C132" s="1" t="s">
        <v>45</v>
      </c>
      <c r="D132" s="1">
        <f>D125/20</f>
        <v>3.65</v>
      </c>
    </row>
    <row r="133" spans="3:4">
      <c r="C133" s="1" t="s">
        <v>46</v>
      </c>
      <c r="D133" s="1">
        <f>D126/20</f>
        <v>4.75</v>
      </c>
    </row>
    <row r="134" spans="3:4">
      <c r="C134" s="1" t="s">
        <v>47</v>
      </c>
      <c r="D134" s="1">
        <f>D127/20</f>
        <v>4.5</v>
      </c>
    </row>
    <row r="135" spans="3:4">
      <c r="C135" s="1" t="s">
        <v>102</v>
      </c>
      <c r="D135" s="1">
        <f>SUM(D2:D120)/100</f>
        <v>4.53</v>
      </c>
    </row>
  </sheetData>
  <mergeCells count="20">
    <mergeCell ref="A110:A114"/>
    <mergeCell ref="A116:A120"/>
    <mergeCell ref="A74:A78"/>
    <mergeCell ref="A80:A84"/>
    <mergeCell ref="A86:A90"/>
    <mergeCell ref="A92:A96"/>
    <mergeCell ref="A98:A102"/>
    <mergeCell ref="A104:A108"/>
    <mergeCell ref="A68:A72"/>
    <mergeCell ref="A2:A6"/>
    <mergeCell ref="A8:A12"/>
    <mergeCell ref="A14:A18"/>
    <mergeCell ref="A20:A24"/>
    <mergeCell ref="A26:A30"/>
    <mergeCell ref="A32:A36"/>
    <mergeCell ref="A38:A42"/>
    <mergeCell ref="A44:A48"/>
    <mergeCell ref="A50:A54"/>
    <mergeCell ref="A56:A60"/>
    <mergeCell ref="A62:A6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6A93-2A30-448D-A6DA-64C9FCBB3DE7}">
  <dimension ref="A1:F135"/>
  <sheetViews>
    <sheetView workbookViewId="0">
      <selection activeCell="F4" sqref="F4"/>
    </sheetView>
  </sheetViews>
  <sheetFormatPr defaultRowHeight="14.45"/>
  <cols>
    <col min="1" max="1" width="31" customWidth="1"/>
    <col min="2" max="2" width="9.140625" bestFit="1" customWidth="1"/>
    <col min="3" max="3" width="29" customWidth="1"/>
    <col min="4" max="4" width="17.5703125" customWidth="1"/>
  </cols>
  <sheetData>
    <row r="1" spans="1:6">
      <c r="A1" s="4" t="s">
        <v>0</v>
      </c>
      <c r="B1" s="4" t="s">
        <v>1</v>
      </c>
      <c r="C1" s="4" t="s">
        <v>0</v>
      </c>
      <c r="D1" s="4" t="s">
        <v>2</v>
      </c>
    </row>
    <row r="2" spans="1:6" ht="14.45" customHeight="1">
      <c r="A2" s="8" t="s">
        <v>103</v>
      </c>
      <c r="B2" s="2">
        <v>1</v>
      </c>
      <c r="C2" s="2" t="s">
        <v>103</v>
      </c>
      <c r="D2" s="2">
        <v>5</v>
      </c>
      <c r="F2" t="s">
        <v>5</v>
      </c>
    </row>
    <row r="3" spans="1:6" ht="14.45" customHeight="1">
      <c r="A3" s="8"/>
      <c r="B3" s="2">
        <v>2</v>
      </c>
      <c r="C3" s="2" t="s">
        <v>103</v>
      </c>
      <c r="D3" s="2">
        <v>5</v>
      </c>
      <c r="F3">
        <f>1+1</f>
        <v>2</v>
      </c>
    </row>
    <row r="4" spans="1:6" ht="14.45" customHeight="1">
      <c r="A4" s="8"/>
      <c r="B4" s="2">
        <v>3</v>
      </c>
      <c r="C4" s="2" t="s">
        <v>104</v>
      </c>
      <c r="D4" s="2">
        <v>4</v>
      </c>
    </row>
    <row r="5" spans="1:6" ht="14.45" customHeight="1">
      <c r="A5" s="8"/>
      <c r="B5" s="2">
        <v>4</v>
      </c>
      <c r="C5" s="2" t="s">
        <v>103</v>
      </c>
      <c r="D5" s="2">
        <v>5</v>
      </c>
    </row>
    <row r="6" spans="1:6" ht="14.45" customHeight="1">
      <c r="A6" s="8"/>
      <c r="B6" s="2">
        <v>5</v>
      </c>
      <c r="C6" s="2" t="s">
        <v>103</v>
      </c>
      <c r="D6" s="2">
        <v>5</v>
      </c>
    </row>
    <row r="7" spans="1:6">
      <c r="B7" s="2"/>
      <c r="C7" s="2"/>
      <c r="D7" s="2"/>
    </row>
    <row r="8" spans="1:6" ht="14.45" customHeight="1">
      <c r="A8" s="8" t="s">
        <v>105</v>
      </c>
      <c r="B8" s="2">
        <v>1</v>
      </c>
      <c r="C8" s="2" t="s">
        <v>105</v>
      </c>
      <c r="D8" s="2">
        <v>5</v>
      </c>
    </row>
    <row r="9" spans="1:6" ht="14.45" customHeight="1">
      <c r="A9" s="8"/>
      <c r="B9" s="2">
        <v>2</v>
      </c>
      <c r="C9" s="2" t="s">
        <v>105</v>
      </c>
      <c r="D9" s="2">
        <v>5</v>
      </c>
    </row>
    <row r="10" spans="1:6" ht="14.45" customHeight="1">
      <c r="A10" s="8"/>
      <c r="B10" s="2">
        <v>3</v>
      </c>
      <c r="C10" s="2" t="s">
        <v>105</v>
      </c>
      <c r="D10" s="2">
        <v>5</v>
      </c>
    </row>
    <row r="11" spans="1:6" ht="14.45" customHeight="1">
      <c r="A11" s="8"/>
      <c r="B11" s="2">
        <v>4</v>
      </c>
      <c r="C11" s="2" t="s">
        <v>105</v>
      </c>
      <c r="D11" s="2">
        <v>5</v>
      </c>
    </row>
    <row r="12" spans="1:6" ht="14.45" customHeight="1">
      <c r="A12" s="8"/>
      <c r="B12" s="2">
        <v>5</v>
      </c>
      <c r="C12" s="2" t="s">
        <v>105</v>
      </c>
      <c r="D12" s="2">
        <v>5</v>
      </c>
    </row>
    <row r="13" spans="1:6">
      <c r="B13" s="2"/>
      <c r="C13" s="2"/>
      <c r="D13" s="2"/>
    </row>
    <row r="14" spans="1:6" ht="14.45" customHeight="1">
      <c r="A14" s="8" t="s">
        <v>106</v>
      </c>
      <c r="B14" s="2">
        <v>1</v>
      </c>
      <c r="C14" s="2" t="s">
        <v>106</v>
      </c>
      <c r="D14" s="2">
        <v>5</v>
      </c>
    </row>
    <row r="15" spans="1:6" ht="14.45" customHeight="1">
      <c r="A15" s="8"/>
      <c r="B15" s="2">
        <v>2</v>
      </c>
      <c r="C15" s="2" t="s">
        <v>106</v>
      </c>
      <c r="D15" s="2">
        <v>5</v>
      </c>
    </row>
    <row r="16" spans="1:6" ht="14.45" customHeight="1">
      <c r="A16" s="8"/>
      <c r="B16" s="2">
        <v>3</v>
      </c>
      <c r="C16" s="2" t="s">
        <v>107</v>
      </c>
      <c r="D16" s="2">
        <v>4</v>
      </c>
    </row>
    <row r="17" spans="1:4" ht="14.45" customHeight="1">
      <c r="A17" s="8"/>
      <c r="B17" s="2">
        <v>4</v>
      </c>
      <c r="C17" s="2" t="s">
        <v>106</v>
      </c>
      <c r="D17" s="2">
        <v>5</v>
      </c>
    </row>
    <row r="18" spans="1:4" ht="14.45" customHeight="1">
      <c r="A18" s="8"/>
      <c r="B18" s="2">
        <v>5</v>
      </c>
      <c r="C18" s="2" t="s">
        <v>106</v>
      </c>
      <c r="D18" s="2">
        <v>5</v>
      </c>
    </row>
    <row r="19" spans="1:4">
      <c r="B19" s="2"/>
      <c r="C19" s="2"/>
      <c r="D19" s="2"/>
    </row>
    <row r="20" spans="1:4" ht="14.45" customHeight="1">
      <c r="A20" s="8" t="s">
        <v>108</v>
      </c>
      <c r="B20" s="2">
        <v>1</v>
      </c>
      <c r="C20" s="2" t="s">
        <v>108</v>
      </c>
      <c r="D20" s="2">
        <v>5</v>
      </c>
    </row>
    <row r="21" spans="1:4" ht="14.45" customHeight="1">
      <c r="A21" s="8"/>
      <c r="B21" s="2">
        <v>2</v>
      </c>
      <c r="C21" s="2" t="s">
        <v>108</v>
      </c>
      <c r="D21" s="2">
        <v>5</v>
      </c>
    </row>
    <row r="22" spans="1:4" ht="14.45" customHeight="1">
      <c r="A22" s="8"/>
      <c r="B22" s="2">
        <v>3</v>
      </c>
      <c r="C22" s="2" t="s">
        <v>109</v>
      </c>
      <c r="D22" s="2">
        <v>4</v>
      </c>
    </row>
    <row r="23" spans="1:4" ht="14.45" customHeight="1">
      <c r="A23" s="8"/>
      <c r="B23" s="2">
        <v>4</v>
      </c>
      <c r="C23" s="2" t="s">
        <v>108</v>
      </c>
      <c r="D23" s="2">
        <v>5</v>
      </c>
    </row>
    <row r="24" spans="1:4" ht="14.45" customHeight="1">
      <c r="A24" s="8"/>
      <c r="B24" s="2">
        <v>5</v>
      </c>
      <c r="C24" s="2" t="s">
        <v>108</v>
      </c>
      <c r="D24" s="2">
        <v>5</v>
      </c>
    </row>
    <row r="25" spans="1:4">
      <c r="B25" s="2"/>
      <c r="C25" s="2"/>
      <c r="D25" s="2"/>
    </row>
    <row r="26" spans="1:4" ht="14.45" customHeight="1">
      <c r="A26" s="8" t="s">
        <v>110</v>
      </c>
      <c r="B26" s="2">
        <v>1</v>
      </c>
      <c r="C26" s="2" t="s">
        <v>110</v>
      </c>
      <c r="D26" s="2">
        <v>5</v>
      </c>
    </row>
    <row r="27" spans="1:4" ht="14.45" customHeight="1">
      <c r="A27" s="8"/>
      <c r="B27" s="2">
        <v>2</v>
      </c>
      <c r="C27" s="2" t="s">
        <v>110</v>
      </c>
      <c r="D27" s="2">
        <v>5</v>
      </c>
    </row>
    <row r="28" spans="1:4" ht="14.45" customHeight="1">
      <c r="A28" s="8"/>
      <c r="B28" s="2">
        <v>3</v>
      </c>
      <c r="C28" s="2" t="s">
        <v>111</v>
      </c>
      <c r="D28" s="2">
        <v>4</v>
      </c>
    </row>
    <row r="29" spans="1:4" ht="14.45" customHeight="1">
      <c r="A29" s="8"/>
      <c r="B29" s="2">
        <v>4</v>
      </c>
      <c r="C29" s="2" t="s">
        <v>110</v>
      </c>
      <c r="D29" s="2">
        <v>5</v>
      </c>
    </row>
    <row r="30" spans="1:4" ht="14.45" customHeight="1">
      <c r="A30" s="8"/>
      <c r="B30" s="2">
        <v>5</v>
      </c>
      <c r="C30" s="2" t="s">
        <v>110</v>
      </c>
      <c r="D30" s="2">
        <v>5</v>
      </c>
    </row>
    <row r="31" spans="1:4">
      <c r="B31" s="2"/>
      <c r="C31" s="2"/>
      <c r="D31" s="2"/>
    </row>
    <row r="32" spans="1:4" ht="14.45" customHeight="1">
      <c r="A32" s="8" t="s">
        <v>112</v>
      </c>
      <c r="B32" s="2">
        <v>1</v>
      </c>
      <c r="C32" s="2" t="s">
        <v>112</v>
      </c>
      <c r="D32" s="2">
        <v>5</v>
      </c>
    </row>
    <row r="33" spans="1:4" ht="14.45" customHeight="1">
      <c r="A33" s="8"/>
      <c r="B33" s="2">
        <v>2</v>
      </c>
      <c r="C33" s="2" t="s">
        <v>112</v>
      </c>
      <c r="D33" s="2">
        <v>5</v>
      </c>
    </row>
    <row r="34" spans="1:4" ht="14.45" customHeight="1">
      <c r="A34" s="8"/>
      <c r="B34" s="2">
        <v>3</v>
      </c>
      <c r="C34" s="2" t="s">
        <v>113</v>
      </c>
      <c r="D34" s="2">
        <v>4</v>
      </c>
    </row>
    <row r="35" spans="1:4" ht="14.45" customHeight="1">
      <c r="A35" s="8"/>
      <c r="B35" s="2">
        <v>4</v>
      </c>
      <c r="C35" s="2" t="s">
        <v>112</v>
      </c>
      <c r="D35" s="2">
        <v>5</v>
      </c>
    </row>
    <row r="36" spans="1:4" ht="14.45" customHeight="1">
      <c r="A36" s="8"/>
      <c r="B36" s="2">
        <v>5</v>
      </c>
      <c r="C36" s="2" t="s">
        <v>112</v>
      </c>
      <c r="D36" s="2">
        <v>5</v>
      </c>
    </row>
    <row r="37" spans="1:4">
      <c r="B37" s="2"/>
      <c r="C37" s="2"/>
      <c r="D37" s="2"/>
    </row>
    <row r="38" spans="1:4" ht="14.45" customHeight="1">
      <c r="A38" s="8" t="s">
        <v>114</v>
      </c>
      <c r="B38" s="2">
        <v>1</v>
      </c>
      <c r="C38" s="2" t="s">
        <v>115</v>
      </c>
      <c r="D38" s="2">
        <v>4</v>
      </c>
    </row>
    <row r="39" spans="1:4" ht="14.45" customHeight="1">
      <c r="A39" s="8"/>
      <c r="B39" s="2">
        <v>2</v>
      </c>
      <c r="C39" s="2" t="s">
        <v>114</v>
      </c>
      <c r="D39" s="2">
        <v>5</v>
      </c>
    </row>
    <row r="40" spans="1:4" ht="14.45" customHeight="1">
      <c r="A40" s="8"/>
      <c r="B40" s="2">
        <v>3</v>
      </c>
      <c r="C40" s="2" t="s">
        <v>116</v>
      </c>
      <c r="D40" s="2">
        <v>4</v>
      </c>
    </row>
    <row r="41" spans="1:4" ht="14.45" customHeight="1">
      <c r="A41" s="8"/>
      <c r="B41" s="2">
        <v>4</v>
      </c>
      <c r="C41" s="2" t="s">
        <v>114</v>
      </c>
      <c r="D41" s="2">
        <v>5</v>
      </c>
    </row>
    <row r="42" spans="1:4" ht="14.45" customHeight="1">
      <c r="A42" s="8"/>
      <c r="B42" s="2">
        <v>5</v>
      </c>
      <c r="C42" s="2" t="s">
        <v>117</v>
      </c>
      <c r="D42" s="2">
        <v>3</v>
      </c>
    </row>
    <row r="43" spans="1:4" ht="14.45" customHeight="1">
      <c r="B43" s="2"/>
      <c r="C43" s="2"/>
      <c r="D43" s="2"/>
    </row>
    <row r="44" spans="1:4" ht="14.45" customHeight="1">
      <c r="A44" s="8" t="s">
        <v>118</v>
      </c>
      <c r="B44" s="2">
        <v>1</v>
      </c>
      <c r="C44" s="2" t="s">
        <v>118</v>
      </c>
      <c r="D44" s="2">
        <v>5</v>
      </c>
    </row>
    <row r="45" spans="1:4" ht="14.45" customHeight="1">
      <c r="A45" s="8"/>
      <c r="B45" s="2">
        <v>2</v>
      </c>
      <c r="C45" s="2" t="s">
        <v>119</v>
      </c>
      <c r="D45" s="2">
        <v>5</v>
      </c>
    </row>
    <row r="46" spans="1:4" ht="14.45" customHeight="1">
      <c r="A46" s="8"/>
      <c r="B46" s="2">
        <v>3</v>
      </c>
      <c r="C46" s="2" t="s">
        <v>118</v>
      </c>
      <c r="D46" s="2">
        <v>5</v>
      </c>
    </row>
    <row r="47" spans="1:4" ht="14.45" customHeight="1">
      <c r="A47" s="8"/>
      <c r="B47" s="2">
        <v>4</v>
      </c>
      <c r="C47" s="2" t="s">
        <v>118</v>
      </c>
      <c r="D47" s="2">
        <v>5</v>
      </c>
    </row>
    <row r="48" spans="1:4" ht="14.45" customHeight="1">
      <c r="A48" s="8"/>
      <c r="B48" s="2">
        <v>5</v>
      </c>
      <c r="C48" s="2" t="s">
        <v>118</v>
      </c>
      <c r="D48" s="2">
        <v>5</v>
      </c>
    </row>
    <row r="49" spans="1:4">
      <c r="B49" s="2"/>
      <c r="C49" s="2"/>
      <c r="D49" s="2"/>
    </row>
    <row r="50" spans="1:4" ht="14.45" customHeight="1">
      <c r="A50" s="8" t="s">
        <v>120</v>
      </c>
      <c r="B50" s="2">
        <v>1</v>
      </c>
      <c r="C50" s="2" t="s">
        <v>121</v>
      </c>
      <c r="D50" s="2">
        <v>4</v>
      </c>
    </row>
    <row r="51" spans="1:4" ht="14.45" customHeight="1">
      <c r="A51" s="8"/>
      <c r="B51" s="2">
        <v>2</v>
      </c>
      <c r="C51" s="2" t="s">
        <v>120</v>
      </c>
      <c r="D51" s="2">
        <v>5</v>
      </c>
    </row>
    <row r="52" spans="1:4" ht="14.45" customHeight="1">
      <c r="A52" s="8"/>
      <c r="B52" s="2">
        <v>3</v>
      </c>
      <c r="C52" s="2" t="s">
        <v>120</v>
      </c>
      <c r="D52" s="2">
        <v>5</v>
      </c>
    </row>
    <row r="53" spans="1:4" ht="14.45" customHeight="1">
      <c r="A53" s="8"/>
      <c r="B53" s="2">
        <v>4</v>
      </c>
      <c r="C53" s="2" t="s">
        <v>120</v>
      </c>
      <c r="D53" s="2">
        <v>5</v>
      </c>
    </row>
    <row r="54" spans="1:4" ht="14.45" customHeight="1">
      <c r="A54" s="8"/>
      <c r="B54" s="2">
        <v>5</v>
      </c>
      <c r="C54" s="2" t="s">
        <v>120</v>
      </c>
      <c r="D54" s="2">
        <v>5</v>
      </c>
    </row>
    <row r="55" spans="1:4">
      <c r="B55" s="2"/>
      <c r="C55" s="2"/>
      <c r="D55" s="2"/>
    </row>
    <row r="56" spans="1:4" ht="14.45" customHeight="1">
      <c r="A56" s="8" t="s">
        <v>122</v>
      </c>
      <c r="B56" s="2">
        <v>1</v>
      </c>
      <c r="C56" s="2" t="s">
        <v>122</v>
      </c>
      <c r="D56" s="2">
        <v>5</v>
      </c>
    </row>
    <row r="57" spans="1:4" ht="14.45" customHeight="1">
      <c r="A57" s="8"/>
      <c r="B57" s="2">
        <v>2</v>
      </c>
      <c r="C57" s="2" t="s">
        <v>122</v>
      </c>
      <c r="D57" s="2">
        <v>5</v>
      </c>
    </row>
    <row r="58" spans="1:4" ht="14.45" customHeight="1">
      <c r="A58" s="8"/>
      <c r="B58" s="2">
        <v>3</v>
      </c>
      <c r="C58" s="2" t="s">
        <v>123</v>
      </c>
      <c r="D58" s="2">
        <v>4</v>
      </c>
    </row>
    <row r="59" spans="1:4" ht="14.45" customHeight="1">
      <c r="A59" s="8"/>
      <c r="B59" s="2">
        <v>4</v>
      </c>
      <c r="C59" s="2" t="s">
        <v>122</v>
      </c>
      <c r="D59" s="2">
        <v>5</v>
      </c>
    </row>
    <row r="60" spans="1:4" ht="14.45" customHeight="1">
      <c r="A60" s="8"/>
      <c r="B60" s="2">
        <v>5</v>
      </c>
      <c r="C60" s="2" t="s">
        <v>122</v>
      </c>
      <c r="D60" s="2">
        <v>5</v>
      </c>
    </row>
    <row r="61" spans="1:4">
      <c r="B61" s="2"/>
      <c r="C61" s="2"/>
      <c r="D61" s="2"/>
    </row>
    <row r="62" spans="1:4" ht="14.45" customHeight="1">
      <c r="A62" s="8" t="s">
        <v>124</v>
      </c>
      <c r="B62" s="2">
        <v>1</v>
      </c>
      <c r="C62" s="2" t="s">
        <v>124</v>
      </c>
      <c r="D62" s="2">
        <v>5</v>
      </c>
    </row>
    <row r="63" spans="1:4" ht="14.45" customHeight="1">
      <c r="A63" s="8"/>
      <c r="B63" s="2">
        <v>2</v>
      </c>
      <c r="C63" s="2" t="s">
        <v>124</v>
      </c>
      <c r="D63" s="2">
        <v>5</v>
      </c>
    </row>
    <row r="64" spans="1:4" ht="14.45" customHeight="1">
      <c r="A64" s="8"/>
      <c r="B64" s="2">
        <v>3</v>
      </c>
      <c r="C64" s="2" t="s">
        <v>125</v>
      </c>
      <c r="D64" s="2">
        <v>4</v>
      </c>
    </row>
    <row r="65" spans="1:4" ht="14.45" customHeight="1">
      <c r="A65" s="8"/>
      <c r="B65" s="2">
        <v>4</v>
      </c>
      <c r="C65" s="2" t="s">
        <v>124</v>
      </c>
      <c r="D65" s="2">
        <v>5</v>
      </c>
    </row>
    <row r="66" spans="1:4" ht="14.45" customHeight="1">
      <c r="A66" s="8"/>
      <c r="B66" s="2">
        <v>5</v>
      </c>
      <c r="C66" s="2" t="s">
        <v>124</v>
      </c>
      <c r="D66" s="2">
        <v>5</v>
      </c>
    </row>
    <row r="67" spans="1:4">
      <c r="A67" s="3"/>
      <c r="B67" s="2"/>
      <c r="C67" s="2"/>
      <c r="D67" s="2"/>
    </row>
    <row r="68" spans="1:4" ht="14.45" customHeight="1">
      <c r="A68" s="8" t="s">
        <v>126</v>
      </c>
      <c r="B68" s="2">
        <v>1</v>
      </c>
      <c r="C68" s="2" t="s">
        <v>126</v>
      </c>
      <c r="D68" s="2">
        <v>5</v>
      </c>
    </row>
    <row r="69" spans="1:4" ht="14.45" customHeight="1">
      <c r="A69" s="8"/>
      <c r="B69" s="2">
        <v>2</v>
      </c>
      <c r="C69" s="2" t="s">
        <v>126</v>
      </c>
      <c r="D69" s="2">
        <v>5</v>
      </c>
    </row>
    <row r="70" spans="1:4" ht="14.45" customHeight="1">
      <c r="A70" s="8"/>
      <c r="B70" s="2">
        <v>3</v>
      </c>
      <c r="C70" s="2" t="s">
        <v>126</v>
      </c>
      <c r="D70" s="2">
        <v>5</v>
      </c>
    </row>
    <row r="71" spans="1:4" ht="14.45" customHeight="1">
      <c r="A71" s="8"/>
      <c r="B71" s="2">
        <v>4</v>
      </c>
      <c r="C71" s="2" t="s">
        <v>126</v>
      </c>
      <c r="D71" s="2">
        <v>5</v>
      </c>
    </row>
    <row r="72" spans="1:4" ht="14.45" customHeight="1">
      <c r="A72" s="8"/>
      <c r="B72" s="2">
        <v>5</v>
      </c>
      <c r="C72" s="2" t="s">
        <v>126</v>
      </c>
      <c r="D72" s="2">
        <v>5</v>
      </c>
    </row>
    <row r="73" spans="1:4">
      <c r="A73" s="3"/>
      <c r="B73" s="2"/>
      <c r="C73" s="2"/>
      <c r="D73" s="2"/>
    </row>
    <row r="74" spans="1:4" ht="14.45" customHeight="1">
      <c r="A74" s="8" t="s">
        <v>127</v>
      </c>
      <c r="B74" s="2">
        <v>1</v>
      </c>
      <c r="C74" s="2" t="s">
        <v>127</v>
      </c>
      <c r="D74" s="2">
        <v>5</v>
      </c>
    </row>
    <row r="75" spans="1:4" ht="14.45" customHeight="1">
      <c r="A75" s="8"/>
      <c r="B75" s="2">
        <v>2</v>
      </c>
      <c r="C75" s="2" t="s">
        <v>127</v>
      </c>
      <c r="D75" s="2">
        <v>5</v>
      </c>
    </row>
    <row r="76" spans="1:4" ht="14.45" customHeight="1">
      <c r="A76" s="8"/>
      <c r="B76" s="2">
        <v>3</v>
      </c>
      <c r="C76" s="2" t="s">
        <v>128</v>
      </c>
      <c r="D76" s="2">
        <v>5</v>
      </c>
    </row>
    <row r="77" spans="1:4" ht="14.45" customHeight="1">
      <c r="A77" s="8"/>
      <c r="B77" s="2">
        <v>4</v>
      </c>
      <c r="C77" s="2" t="s">
        <v>127</v>
      </c>
      <c r="D77" s="2">
        <v>5</v>
      </c>
    </row>
    <row r="78" spans="1:4" ht="14.45" customHeight="1">
      <c r="A78" s="8"/>
      <c r="B78" s="2">
        <v>5</v>
      </c>
      <c r="C78" s="2" t="s">
        <v>127</v>
      </c>
      <c r="D78" s="2">
        <v>5</v>
      </c>
    </row>
    <row r="79" spans="1:4">
      <c r="A79" s="3"/>
      <c r="B79" s="2"/>
      <c r="C79" s="2"/>
      <c r="D79" s="2"/>
    </row>
    <row r="80" spans="1:4" ht="14.45" customHeight="1">
      <c r="A80" s="8" t="s">
        <v>129</v>
      </c>
      <c r="B80" s="2">
        <v>1</v>
      </c>
      <c r="C80" s="2" t="s">
        <v>129</v>
      </c>
      <c r="D80" s="2">
        <v>5</v>
      </c>
    </row>
    <row r="81" spans="1:4" ht="14.45" customHeight="1">
      <c r="A81" s="8"/>
      <c r="B81" s="2">
        <v>2</v>
      </c>
      <c r="C81" s="2" t="s">
        <v>129</v>
      </c>
      <c r="D81" s="2">
        <v>5</v>
      </c>
    </row>
    <row r="82" spans="1:4" ht="14.45" customHeight="1">
      <c r="A82" s="8"/>
      <c r="B82" s="2">
        <v>3</v>
      </c>
      <c r="C82" s="2" t="s">
        <v>129</v>
      </c>
      <c r="D82" s="2">
        <v>5</v>
      </c>
    </row>
    <row r="83" spans="1:4" ht="14.45" customHeight="1">
      <c r="A83" s="8"/>
      <c r="B83" s="2">
        <v>4</v>
      </c>
      <c r="C83" s="2" t="s">
        <v>129</v>
      </c>
      <c r="D83" s="2">
        <v>5</v>
      </c>
    </row>
    <row r="84" spans="1:4" ht="14.45" customHeight="1">
      <c r="A84" s="8"/>
      <c r="B84" s="2">
        <v>5</v>
      </c>
      <c r="C84" s="2" t="s">
        <v>129</v>
      </c>
      <c r="D84" s="2">
        <v>5</v>
      </c>
    </row>
    <row r="85" spans="1:4">
      <c r="A85" s="3"/>
      <c r="B85" s="2"/>
      <c r="C85" s="2"/>
      <c r="D85" s="2"/>
    </row>
    <row r="86" spans="1:4" ht="14.45" customHeight="1">
      <c r="A86" s="8" t="s">
        <v>130</v>
      </c>
      <c r="B86" s="2">
        <v>1</v>
      </c>
      <c r="C86" s="2" t="s">
        <v>130</v>
      </c>
      <c r="D86" s="2">
        <v>5</v>
      </c>
    </row>
    <row r="87" spans="1:4" ht="14.45" customHeight="1">
      <c r="A87" s="8"/>
      <c r="B87" s="2">
        <v>2</v>
      </c>
      <c r="C87" s="2" t="s">
        <v>130</v>
      </c>
      <c r="D87" s="2">
        <v>5</v>
      </c>
    </row>
    <row r="88" spans="1:4" ht="14.45" customHeight="1">
      <c r="A88" s="8"/>
      <c r="B88" s="2">
        <v>3</v>
      </c>
      <c r="C88" s="2" t="s">
        <v>130</v>
      </c>
      <c r="D88" s="2">
        <v>5</v>
      </c>
    </row>
    <row r="89" spans="1:4" ht="14.45" customHeight="1">
      <c r="A89" s="8"/>
      <c r="B89" s="2">
        <v>4</v>
      </c>
      <c r="C89" s="2" t="s">
        <v>130</v>
      </c>
      <c r="D89" s="2">
        <v>5</v>
      </c>
    </row>
    <row r="90" spans="1:4" ht="14.45" customHeight="1">
      <c r="A90" s="8"/>
      <c r="B90" s="2">
        <v>5</v>
      </c>
      <c r="C90" s="2" t="s">
        <v>130</v>
      </c>
      <c r="D90" s="2">
        <v>5</v>
      </c>
    </row>
    <row r="91" spans="1:4">
      <c r="A91" s="3"/>
      <c r="B91" s="2"/>
      <c r="C91" s="2"/>
      <c r="D91" s="2"/>
    </row>
    <row r="92" spans="1:4" ht="14.45" customHeight="1">
      <c r="A92" s="8" t="s">
        <v>131</v>
      </c>
      <c r="B92" s="2">
        <v>1</v>
      </c>
      <c r="C92" s="2" t="s">
        <v>132</v>
      </c>
      <c r="D92" s="2">
        <v>4</v>
      </c>
    </row>
    <row r="93" spans="1:4" ht="14.45" customHeight="1">
      <c r="A93" s="8"/>
      <c r="B93" s="2">
        <v>2</v>
      </c>
      <c r="C93" s="2" t="s">
        <v>131</v>
      </c>
      <c r="D93" s="2">
        <v>5</v>
      </c>
    </row>
    <row r="94" spans="1:4" ht="14.45" customHeight="1">
      <c r="A94" s="8"/>
      <c r="B94" s="2">
        <v>3</v>
      </c>
      <c r="C94" s="2" t="s">
        <v>133</v>
      </c>
      <c r="D94" s="2">
        <v>4</v>
      </c>
    </row>
    <row r="95" spans="1:4" ht="14.45" customHeight="1">
      <c r="A95" s="8"/>
      <c r="B95" s="2">
        <v>4</v>
      </c>
      <c r="C95" s="2" t="s">
        <v>131</v>
      </c>
      <c r="D95" s="2">
        <v>5</v>
      </c>
    </row>
    <row r="96" spans="1:4" ht="14.45" customHeight="1">
      <c r="A96" s="8"/>
      <c r="B96" s="2">
        <v>5</v>
      </c>
      <c r="C96" s="2" t="s">
        <v>131</v>
      </c>
      <c r="D96" s="2">
        <v>5</v>
      </c>
    </row>
    <row r="97" spans="1:4">
      <c r="A97" s="3"/>
      <c r="B97" s="2"/>
      <c r="C97" s="2"/>
      <c r="D97" s="2"/>
    </row>
    <row r="98" spans="1:4" ht="14.45" customHeight="1">
      <c r="A98" s="8" t="s">
        <v>134</v>
      </c>
      <c r="B98" s="2">
        <v>1</v>
      </c>
      <c r="C98" s="2" t="s">
        <v>134</v>
      </c>
      <c r="D98" s="2">
        <v>5</v>
      </c>
    </row>
    <row r="99" spans="1:4" ht="14.45" customHeight="1">
      <c r="A99" s="8"/>
      <c r="B99" s="2">
        <v>2</v>
      </c>
      <c r="C99" s="2" t="s">
        <v>134</v>
      </c>
      <c r="D99" s="2">
        <v>5</v>
      </c>
    </row>
    <row r="100" spans="1:4" ht="14.45" customHeight="1">
      <c r="A100" s="8"/>
      <c r="B100" s="2">
        <v>3</v>
      </c>
      <c r="C100" s="2" t="s">
        <v>135</v>
      </c>
      <c r="D100" s="2">
        <v>4</v>
      </c>
    </row>
    <row r="101" spans="1:4" ht="14.45" customHeight="1">
      <c r="A101" s="8"/>
      <c r="B101" s="2">
        <v>4</v>
      </c>
      <c r="C101" s="2" t="s">
        <v>134</v>
      </c>
      <c r="D101" s="2">
        <v>5</v>
      </c>
    </row>
    <row r="102" spans="1:4" ht="14.45" customHeight="1">
      <c r="A102" s="8"/>
      <c r="B102" s="2">
        <v>5</v>
      </c>
      <c r="C102" s="2" t="s">
        <v>134</v>
      </c>
      <c r="D102" s="2">
        <v>5</v>
      </c>
    </row>
    <row r="103" spans="1:4">
      <c r="A103" s="3"/>
      <c r="B103" s="2"/>
      <c r="C103" s="2"/>
      <c r="D103" s="2"/>
    </row>
    <row r="104" spans="1:4" ht="14.45" customHeight="1">
      <c r="A104" s="8" t="s">
        <v>136</v>
      </c>
      <c r="B104" s="2">
        <v>1</v>
      </c>
      <c r="C104" s="2" t="s">
        <v>136</v>
      </c>
      <c r="D104" s="2">
        <v>5</v>
      </c>
    </row>
    <row r="105" spans="1:4" ht="14.45" customHeight="1">
      <c r="A105" s="8"/>
      <c r="B105" s="2">
        <v>2</v>
      </c>
      <c r="C105" s="2" t="s">
        <v>136</v>
      </c>
      <c r="D105" s="2">
        <v>5</v>
      </c>
    </row>
    <row r="106" spans="1:4" ht="14.45" customHeight="1">
      <c r="A106" s="8"/>
      <c r="B106" s="2">
        <v>3</v>
      </c>
      <c r="C106" s="2" t="s">
        <v>136</v>
      </c>
      <c r="D106" s="2">
        <v>5</v>
      </c>
    </row>
    <row r="107" spans="1:4" ht="14.45" customHeight="1">
      <c r="A107" s="8"/>
      <c r="B107" s="2">
        <v>4</v>
      </c>
      <c r="C107" s="2" t="s">
        <v>136</v>
      </c>
      <c r="D107" s="2">
        <v>5</v>
      </c>
    </row>
    <row r="108" spans="1:4" ht="14.45" customHeight="1">
      <c r="A108" s="8"/>
      <c r="B108" s="2">
        <v>5</v>
      </c>
      <c r="C108" s="2" t="s">
        <v>136</v>
      </c>
      <c r="D108" s="2">
        <v>5</v>
      </c>
    </row>
    <row r="109" spans="1:4">
      <c r="A109" s="3"/>
      <c r="B109" s="2"/>
      <c r="C109" s="2"/>
      <c r="D109" s="2"/>
    </row>
    <row r="110" spans="1:4" ht="14.45" customHeight="1">
      <c r="A110" s="8" t="s">
        <v>137</v>
      </c>
      <c r="B110" s="2">
        <v>1</v>
      </c>
      <c r="C110" s="2" t="s">
        <v>137</v>
      </c>
      <c r="D110" s="2">
        <v>5</v>
      </c>
    </row>
    <row r="111" spans="1:4" ht="14.45" customHeight="1">
      <c r="A111" s="8"/>
      <c r="B111" s="2">
        <v>2</v>
      </c>
      <c r="C111" s="2" t="s">
        <v>138</v>
      </c>
      <c r="D111" s="2">
        <v>4</v>
      </c>
    </row>
    <row r="112" spans="1:4" ht="14.45" customHeight="1">
      <c r="A112" s="8"/>
      <c r="B112" s="2">
        <v>3</v>
      </c>
      <c r="C112" s="2" t="s">
        <v>139</v>
      </c>
      <c r="D112" s="2">
        <v>4</v>
      </c>
    </row>
    <row r="113" spans="1:4" ht="14.45" customHeight="1">
      <c r="A113" s="8"/>
      <c r="B113" s="2">
        <v>4</v>
      </c>
      <c r="C113" s="2" t="s">
        <v>137</v>
      </c>
      <c r="D113" s="2">
        <v>5</v>
      </c>
    </row>
    <row r="114" spans="1:4" ht="14.45" customHeight="1">
      <c r="A114" s="8"/>
      <c r="B114" s="2">
        <v>5</v>
      </c>
      <c r="C114" s="2" t="s">
        <v>137</v>
      </c>
      <c r="D114" s="2">
        <v>5</v>
      </c>
    </row>
    <row r="115" spans="1:4">
      <c r="A115" s="3"/>
      <c r="B115" s="2"/>
      <c r="C115" s="2"/>
      <c r="D115" s="2"/>
    </row>
    <row r="116" spans="1:4" ht="14.45" customHeight="1">
      <c r="A116" s="8" t="s">
        <v>140</v>
      </c>
      <c r="B116" s="2">
        <v>1</v>
      </c>
      <c r="C116" s="2" t="s">
        <v>140</v>
      </c>
      <c r="D116" s="2">
        <v>5</v>
      </c>
    </row>
    <row r="117" spans="1:4" ht="14.45" customHeight="1">
      <c r="A117" s="8"/>
      <c r="B117" s="2">
        <v>2</v>
      </c>
      <c r="C117" s="2" t="s">
        <v>140</v>
      </c>
      <c r="D117" s="2">
        <v>5</v>
      </c>
    </row>
    <row r="118" spans="1:4" ht="14.45" customHeight="1">
      <c r="A118" s="8"/>
      <c r="B118" s="2">
        <v>3</v>
      </c>
      <c r="C118" s="2" t="s">
        <v>140</v>
      </c>
      <c r="D118" s="2">
        <v>5</v>
      </c>
    </row>
    <row r="119" spans="1:4" ht="14.45" customHeight="1">
      <c r="A119" s="8"/>
      <c r="B119" s="2">
        <v>4</v>
      </c>
      <c r="C119" s="2" t="s">
        <v>140</v>
      </c>
      <c r="D119" s="2">
        <v>5</v>
      </c>
    </row>
    <row r="120" spans="1:4" ht="14.45" customHeight="1">
      <c r="A120" s="8"/>
      <c r="B120" s="2">
        <v>5</v>
      </c>
      <c r="C120" s="2" t="s">
        <v>141</v>
      </c>
      <c r="D120" s="2">
        <v>4</v>
      </c>
    </row>
    <row r="121" spans="1:4">
      <c r="B121" s="2"/>
      <c r="C121" s="2"/>
      <c r="D121" s="2"/>
    </row>
    <row r="122" spans="1:4">
      <c r="B122" s="2"/>
    </row>
    <row r="123" spans="1:4">
      <c r="C123" s="1" t="s">
        <v>37</v>
      </c>
      <c r="D123" s="1">
        <f>D116+D110+D104+D98+D92+D86+D80+D74+D68+D62+D56+D50+D44+D38+D32+D26+D20+D14+D8</f>
        <v>92</v>
      </c>
    </row>
    <row r="124" spans="1:4">
      <c r="C124" s="1" t="s">
        <v>38</v>
      </c>
      <c r="D124" s="1">
        <f>D117+D111+D105+D99+D93+D87+D81+D75+D69+D63+D57+D51+D45+D39+D33+D27+D21+D15+D9+D3</f>
        <v>99</v>
      </c>
    </row>
    <row r="125" spans="1:4">
      <c r="C125" s="1" t="s">
        <v>39</v>
      </c>
      <c r="D125" s="1">
        <f>D118+D106+D112+D100+D94+D88+D82+D76+D70+D64+D58+D52+D46+D40+D34+D28+D22+D16+D10+D4</f>
        <v>89</v>
      </c>
    </row>
    <row r="126" spans="1:4">
      <c r="C126" s="1" t="s">
        <v>40</v>
      </c>
      <c r="D126" s="1">
        <f>D119+D107+D113+D101+D95+D89+D83+D77+D71+D65+D59+D53+D47+D41+D35+D29+D23+D17+D11+D5</f>
        <v>100</v>
      </c>
    </row>
    <row r="127" spans="1:4">
      <c r="C127" s="1" t="s">
        <v>41</v>
      </c>
      <c r="D127" s="1">
        <f>D120+D114+D108+D102+D96+D90+D84+D78+D72+D66+D60+D54+D48+D42+D36+D30+D24+D18+D12+D6</f>
        <v>97</v>
      </c>
    </row>
    <row r="128" spans="1:4">
      <c r="C128" s="1" t="s">
        <v>42</v>
      </c>
      <c r="D128" s="1">
        <f>(D123+D124+D125+D127++D126)/5</f>
        <v>95.4</v>
      </c>
    </row>
    <row r="130" spans="3:4">
      <c r="C130" s="1" t="s">
        <v>43</v>
      </c>
      <c r="D130" s="1">
        <f>D123/20</f>
        <v>4.5999999999999996</v>
      </c>
    </row>
    <row r="131" spans="3:4">
      <c r="C131" s="1" t="s">
        <v>44</v>
      </c>
      <c r="D131" s="1">
        <f>D124/20</f>
        <v>4.95</v>
      </c>
    </row>
    <row r="132" spans="3:4">
      <c r="C132" s="1" t="s">
        <v>45</v>
      </c>
      <c r="D132" s="1">
        <f>D125/20</f>
        <v>4.45</v>
      </c>
    </row>
    <row r="133" spans="3:4">
      <c r="C133" s="1" t="s">
        <v>46</v>
      </c>
      <c r="D133" s="1">
        <f>D126/20</f>
        <v>5</v>
      </c>
    </row>
    <row r="134" spans="3:4">
      <c r="C134" s="1" t="s">
        <v>47</v>
      </c>
      <c r="D134" s="1">
        <f>D127/20</f>
        <v>4.8499999999999996</v>
      </c>
    </row>
    <row r="135" spans="3:4">
      <c r="C135" s="2" t="s">
        <v>102</v>
      </c>
      <c r="D135" s="2">
        <f>SUM(D2:D120)/100</f>
        <v>4.82</v>
      </c>
    </row>
  </sheetData>
  <mergeCells count="20">
    <mergeCell ref="A110:A114"/>
    <mergeCell ref="A116:A120"/>
    <mergeCell ref="A74:A78"/>
    <mergeCell ref="A80:A84"/>
    <mergeCell ref="A86:A90"/>
    <mergeCell ref="A92:A96"/>
    <mergeCell ref="A98:A102"/>
    <mergeCell ref="A104:A108"/>
    <mergeCell ref="A68:A72"/>
    <mergeCell ref="A2:A6"/>
    <mergeCell ref="A8:A12"/>
    <mergeCell ref="A14:A18"/>
    <mergeCell ref="A20:A24"/>
    <mergeCell ref="A26:A30"/>
    <mergeCell ref="A32:A36"/>
    <mergeCell ref="A38:A42"/>
    <mergeCell ref="A44:A48"/>
    <mergeCell ref="A50:A54"/>
    <mergeCell ref="A56:A60"/>
    <mergeCell ref="A62:A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9EB9-72CA-4CAF-873C-B45F915FC4DC}">
  <dimension ref="A1:F135"/>
  <sheetViews>
    <sheetView workbookViewId="0">
      <selection activeCell="F4" sqref="F4"/>
    </sheetView>
  </sheetViews>
  <sheetFormatPr defaultRowHeight="14.45"/>
  <cols>
    <col min="1" max="1" width="31" customWidth="1"/>
    <col min="2" max="2" width="9.140625" bestFit="1" customWidth="1"/>
    <col min="3" max="3" width="29" customWidth="1"/>
    <col min="4" max="4" width="17.5703125" customWidth="1"/>
  </cols>
  <sheetData>
    <row r="1" spans="1:6">
      <c r="A1" s="4" t="s">
        <v>0</v>
      </c>
      <c r="B1" s="4" t="s">
        <v>1</v>
      </c>
      <c r="C1" s="4" t="s">
        <v>0</v>
      </c>
      <c r="D1" s="4" t="s">
        <v>2</v>
      </c>
    </row>
    <row r="2" spans="1:6" ht="14.45" customHeight="1">
      <c r="A2" s="8" t="s">
        <v>142</v>
      </c>
      <c r="B2" s="1">
        <v>1</v>
      </c>
      <c r="C2" s="1" t="s">
        <v>142</v>
      </c>
      <c r="D2" s="1">
        <v>5</v>
      </c>
      <c r="F2" t="s">
        <v>5</v>
      </c>
    </row>
    <row r="3" spans="1:6" ht="14.45" customHeight="1">
      <c r="A3" s="8"/>
      <c r="B3" s="1">
        <v>2</v>
      </c>
      <c r="C3" s="1" t="s">
        <v>142</v>
      </c>
      <c r="D3" s="1">
        <v>5</v>
      </c>
      <c r="F3">
        <f>0</f>
        <v>0</v>
      </c>
    </row>
    <row r="4" spans="1:6" ht="14.45" customHeight="1">
      <c r="A4" s="8"/>
      <c r="B4" s="1">
        <v>3</v>
      </c>
      <c r="C4" s="1" t="s">
        <v>142</v>
      </c>
      <c r="D4" s="1">
        <v>5</v>
      </c>
    </row>
    <row r="5" spans="1:6" ht="14.45" customHeight="1">
      <c r="A5" s="8"/>
      <c r="B5" s="1">
        <v>4</v>
      </c>
      <c r="C5" s="1" t="s">
        <v>142</v>
      </c>
      <c r="D5" s="1">
        <v>5</v>
      </c>
    </row>
    <row r="6" spans="1:6" ht="14.45" customHeight="1">
      <c r="A6" s="8"/>
      <c r="B6" s="1">
        <v>5</v>
      </c>
      <c r="C6" s="1" t="s">
        <v>142</v>
      </c>
      <c r="D6" s="1">
        <v>5</v>
      </c>
    </row>
    <row r="7" spans="1:6">
      <c r="B7" s="1"/>
      <c r="C7" s="1"/>
      <c r="D7" s="1"/>
    </row>
    <row r="8" spans="1:6" ht="14.45" customHeight="1">
      <c r="A8" s="8" t="s">
        <v>143</v>
      </c>
      <c r="B8" s="1">
        <v>1</v>
      </c>
      <c r="C8" s="1" t="s">
        <v>143</v>
      </c>
      <c r="D8" s="1">
        <v>5</v>
      </c>
    </row>
    <row r="9" spans="1:6" ht="14.45" customHeight="1">
      <c r="A9" s="8"/>
      <c r="B9" s="1">
        <v>2</v>
      </c>
      <c r="C9" s="1" t="s">
        <v>143</v>
      </c>
      <c r="D9" s="1">
        <v>5</v>
      </c>
    </row>
    <row r="10" spans="1:6" ht="14.45" customHeight="1">
      <c r="A10" s="8"/>
      <c r="B10" s="1">
        <v>3</v>
      </c>
      <c r="C10" s="1" t="s">
        <v>144</v>
      </c>
      <c r="D10" s="1">
        <v>5</v>
      </c>
    </row>
    <row r="11" spans="1:6" ht="14.45" customHeight="1">
      <c r="A11" s="8"/>
      <c r="B11" s="1">
        <v>4</v>
      </c>
      <c r="C11" s="1" t="s">
        <v>143</v>
      </c>
      <c r="D11" s="1">
        <v>5</v>
      </c>
    </row>
    <row r="12" spans="1:6" ht="14.45" customHeight="1">
      <c r="A12" s="8"/>
      <c r="B12" s="1">
        <v>5</v>
      </c>
      <c r="C12" s="1" t="s">
        <v>143</v>
      </c>
      <c r="D12" s="1">
        <v>5</v>
      </c>
    </row>
    <row r="13" spans="1:6">
      <c r="B13" s="1"/>
      <c r="C13" s="1"/>
      <c r="D13" s="1"/>
    </row>
    <row r="14" spans="1:6" ht="14.45" customHeight="1">
      <c r="A14" s="8" t="s">
        <v>145</v>
      </c>
      <c r="B14" s="1">
        <v>1</v>
      </c>
      <c r="C14" s="1" t="s">
        <v>145</v>
      </c>
      <c r="D14" s="1">
        <v>5</v>
      </c>
    </row>
    <row r="15" spans="1:6" ht="14.45" customHeight="1">
      <c r="A15" s="8"/>
      <c r="B15" s="1">
        <v>2</v>
      </c>
      <c r="C15" s="1" t="s">
        <v>145</v>
      </c>
      <c r="D15" s="1">
        <v>5</v>
      </c>
    </row>
    <row r="16" spans="1:6" ht="14.45" customHeight="1">
      <c r="A16" s="8"/>
      <c r="B16" s="1">
        <v>3</v>
      </c>
      <c r="C16" s="1" t="s">
        <v>145</v>
      </c>
      <c r="D16" s="1">
        <v>5</v>
      </c>
    </row>
    <row r="17" spans="1:4" ht="14.45" customHeight="1">
      <c r="A17" s="8"/>
      <c r="B17" s="1">
        <v>4</v>
      </c>
      <c r="C17" s="1" t="s">
        <v>145</v>
      </c>
      <c r="D17" s="1">
        <v>5</v>
      </c>
    </row>
    <row r="18" spans="1:4" ht="14.45" customHeight="1">
      <c r="A18" s="8"/>
      <c r="B18" s="1">
        <v>5</v>
      </c>
      <c r="C18" s="1" t="s">
        <v>145</v>
      </c>
      <c r="D18" s="1">
        <v>5</v>
      </c>
    </row>
    <row r="19" spans="1:4">
      <c r="B19" s="1"/>
      <c r="C19" s="1"/>
      <c r="D19" s="1"/>
    </row>
    <row r="20" spans="1:4" ht="14.45" customHeight="1">
      <c r="A20" s="8" t="s">
        <v>146</v>
      </c>
      <c r="B20" s="1">
        <v>1</v>
      </c>
      <c r="C20" s="1" t="s">
        <v>146</v>
      </c>
      <c r="D20" s="1">
        <v>5</v>
      </c>
    </row>
    <row r="21" spans="1:4" ht="14.45" customHeight="1">
      <c r="A21" s="8"/>
      <c r="B21" s="1">
        <v>2</v>
      </c>
      <c r="C21" s="1" t="s">
        <v>146</v>
      </c>
      <c r="D21" s="1">
        <v>5</v>
      </c>
    </row>
    <row r="22" spans="1:4" ht="14.45" customHeight="1">
      <c r="A22" s="8"/>
      <c r="B22" s="1">
        <v>3</v>
      </c>
      <c r="C22" s="1" t="s">
        <v>146</v>
      </c>
      <c r="D22" s="1">
        <v>5</v>
      </c>
    </row>
    <row r="23" spans="1:4" ht="14.45" customHeight="1">
      <c r="A23" s="8"/>
      <c r="B23" s="1">
        <v>4</v>
      </c>
      <c r="C23" s="1" t="s">
        <v>146</v>
      </c>
      <c r="D23" s="1">
        <v>5</v>
      </c>
    </row>
    <row r="24" spans="1:4" ht="14.45" customHeight="1">
      <c r="A24" s="8"/>
      <c r="B24" s="1">
        <v>5</v>
      </c>
      <c r="C24" s="1" t="s">
        <v>146</v>
      </c>
      <c r="D24" s="1">
        <v>5</v>
      </c>
    </row>
    <row r="25" spans="1:4">
      <c r="B25" s="1"/>
      <c r="C25" s="1"/>
      <c r="D25" s="1"/>
    </row>
    <row r="26" spans="1:4" ht="14.45" customHeight="1">
      <c r="A26" s="8" t="s">
        <v>147</v>
      </c>
      <c r="B26" s="1">
        <v>1</v>
      </c>
      <c r="C26" s="1" t="s">
        <v>147</v>
      </c>
      <c r="D26" s="1">
        <v>5</v>
      </c>
    </row>
    <row r="27" spans="1:4" ht="14.45" customHeight="1">
      <c r="A27" s="8"/>
      <c r="B27" s="1">
        <v>2</v>
      </c>
      <c r="C27" s="1" t="s">
        <v>148</v>
      </c>
      <c r="D27" s="1">
        <v>5</v>
      </c>
    </row>
    <row r="28" spans="1:4" ht="14.45" customHeight="1">
      <c r="A28" s="8"/>
      <c r="B28" s="1">
        <v>3</v>
      </c>
      <c r="C28" s="1" t="s">
        <v>147</v>
      </c>
      <c r="D28" s="1">
        <v>5</v>
      </c>
    </row>
    <row r="29" spans="1:4" ht="14.45" customHeight="1">
      <c r="A29" s="8"/>
      <c r="B29" s="1">
        <v>4</v>
      </c>
      <c r="C29" s="1" t="s">
        <v>147</v>
      </c>
      <c r="D29" s="1">
        <v>5</v>
      </c>
    </row>
    <row r="30" spans="1:4" ht="14.45" customHeight="1">
      <c r="A30" s="8"/>
      <c r="B30" s="1">
        <v>5</v>
      </c>
      <c r="C30" s="1" t="s">
        <v>147</v>
      </c>
      <c r="D30" s="1">
        <v>5</v>
      </c>
    </row>
    <row r="31" spans="1:4">
      <c r="B31" s="1"/>
      <c r="C31" s="1"/>
      <c r="D31" s="1"/>
    </row>
    <row r="32" spans="1:4" ht="14.45" customHeight="1">
      <c r="A32" s="8" t="s">
        <v>149</v>
      </c>
      <c r="B32" s="1">
        <v>1</v>
      </c>
      <c r="C32" s="1" t="s">
        <v>149</v>
      </c>
      <c r="D32" s="1">
        <v>5</v>
      </c>
    </row>
    <row r="33" spans="1:4" ht="14.45" customHeight="1">
      <c r="A33" s="8"/>
      <c r="B33" s="1">
        <v>2</v>
      </c>
      <c r="C33" s="1" t="s">
        <v>149</v>
      </c>
      <c r="D33" s="1">
        <v>5</v>
      </c>
    </row>
    <row r="34" spans="1:4" ht="14.45" customHeight="1">
      <c r="A34" s="8"/>
      <c r="B34" s="1">
        <v>3</v>
      </c>
      <c r="C34" s="1" t="s">
        <v>149</v>
      </c>
      <c r="D34" s="1">
        <v>5</v>
      </c>
    </row>
    <row r="35" spans="1:4" ht="14.45" customHeight="1">
      <c r="A35" s="8"/>
      <c r="B35" s="1">
        <v>4</v>
      </c>
      <c r="C35" s="1" t="s">
        <v>149</v>
      </c>
      <c r="D35" s="1">
        <v>5</v>
      </c>
    </row>
    <row r="36" spans="1:4" ht="14.45" customHeight="1">
      <c r="A36" s="8"/>
      <c r="B36" s="1">
        <v>5</v>
      </c>
      <c r="C36" s="1" t="s">
        <v>149</v>
      </c>
      <c r="D36" s="1">
        <v>5</v>
      </c>
    </row>
    <row r="37" spans="1:4">
      <c r="B37" s="1"/>
      <c r="C37" s="1"/>
      <c r="D37" s="1"/>
    </row>
    <row r="38" spans="1:4" ht="14.45" customHeight="1">
      <c r="A38" s="8" t="s">
        <v>150</v>
      </c>
      <c r="B38" s="1">
        <v>1</v>
      </c>
      <c r="C38" s="1" t="s">
        <v>150</v>
      </c>
      <c r="D38" s="1">
        <v>5</v>
      </c>
    </row>
    <row r="39" spans="1:4" ht="14.45" customHeight="1">
      <c r="A39" s="8"/>
      <c r="B39" s="1">
        <v>2</v>
      </c>
      <c r="C39" s="1" t="s">
        <v>150</v>
      </c>
      <c r="D39" s="1">
        <v>5</v>
      </c>
    </row>
    <row r="40" spans="1:4" ht="14.45" customHeight="1">
      <c r="A40" s="8"/>
      <c r="B40" s="1">
        <v>3</v>
      </c>
      <c r="C40" s="1" t="s">
        <v>150</v>
      </c>
      <c r="D40" s="1">
        <v>5</v>
      </c>
    </row>
    <row r="41" spans="1:4" ht="14.45" customHeight="1">
      <c r="A41" s="8"/>
      <c r="B41" s="1">
        <v>4</v>
      </c>
      <c r="C41" s="1" t="s">
        <v>150</v>
      </c>
      <c r="D41" s="1">
        <v>5</v>
      </c>
    </row>
    <row r="42" spans="1:4" ht="14.45" customHeight="1">
      <c r="A42" s="8"/>
      <c r="B42" s="1">
        <v>5</v>
      </c>
      <c r="C42" s="1" t="s">
        <v>150</v>
      </c>
      <c r="D42" s="1">
        <v>5</v>
      </c>
    </row>
    <row r="43" spans="1:4" ht="14.45" customHeight="1">
      <c r="B43" s="1"/>
      <c r="C43" s="1"/>
      <c r="D43" s="1"/>
    </row>
    <row r="44" spans="1:4" ht="14.45" customHeight="1">
      <c r="A44" s="8" t="s">
        <v>151</v>
      </c>
      <c r="B44" s="1">
        <v>1</v>
      </c>
      <c r="C44" s="1" t="s">
        <v>152</v>
      </c>
      <c r="D44" s="1">
        <v>5</v>
      </c>
    </row>
    <row r="45" spans="1:4" ht="14.45" customHeight="1">
      <c r="A45" s="8"/>
      <c r="B45" s="1">
        <v>2</v>
      </c>
      <c r="C45" s="1" t="s">
        <v>151</v>
      </c>
      <c r="D45" s="1">
        <v>5</v>
      </c>
    </row>
    <row r="46" spans="1:4" ht="14.45" customHeight="1">
      <c r="A46" s="8"/>
      <c r="B46" s="1">
        <v>3</v>
      </c>
      <c r="C46" s="1" t="s">
        <v>151</v>
      </c>
      <c r="D46" s="1">
        <v>5</v>
      </c>
    </row>
    <row r="47" spans="1:4" ht="14.45" customHeight="1">
      <c r="A47" s="8"/>
      <c r="B47" s="1">
        <v>4</v>
      </c>
      <c r="C47" s="1" t="s">
        <v>151</v>
      </c>
      <c r="D47" s="1">
        <v>5</v>
      </c>
    </row>
    <row r="48" spans="1:4" ht="14.45" customHeight="1">
      <c r="A48" s="8"/>
      <c r="B48" s="1">
        <v>5</v>
      </c>
      <c r="C48" s="1" t="s">
        <v>151</v>
      </c>
      <c r="D48" s="1">
        <v>5</v>
      </c>
    </row>
    <row r="49" spans="1:4">
      <c r="B49" s="1"/>
      <c r="C49" s="1"/>
      <c r="D49" s="1"/>
    </row>
    <row r="50" spans="1:4" ht="14.45" customHeight="1">
      <c r="A50" s="8" t="s">
        <v>153</v>
      </c>
      <c r="B50" s="1">
        <v>1</v>
      </c>
      <c r="C50" s="1" t="s">
        <v>153</v>
      </c>
      <c r="D50" s="1">
        <v>5</v>
      </c>
    </row>
    <row r="51" spans="1:4" ht="14.45" customHeight="1">
      <c r="A51" s="8"/>
      <c r="B51" s="1">
        <v>2</v>
      </c>
      <c r="C51" s="1" t="s">
        <v>153</v>
      </c>
      <c r="D51" s="1">
        <v>5</v>
      </c>
    </row>
    <row r="52" spans="1:4" ht="14.45" customHeight="1">
      <c r="A52" s="8"/>
      <c r="B52" s="1">
        <v>3</v>
      </c>
      <c r="C52" s="1" t="s">
        <v>153</v>
      </c>
      <c r="D52" s="1">
        <v>5</v>
      </c>
    </row>
    <row r="53" spans="1:4" ht="14.45" customHeight="1">
      <c r="A53" s="8"/>
      <c r="B53" s="1">
        <v>4</v>
      </c>
      <c r="C53" s="1" t="s">
        <v>153</v>
      </c>
      <c r="D53" s="1">
        <v>5</v>
      </c>
    </row>
    <row r="54" spans="1:4" ht="14.45" customHeight="1">
      <c r="A54" s="8"/>
      <c r="B54" s="1">
        <v>5</v>
      </c>
      <c r="C54" s="1" t="s">
        <v>153</v>
      </c>
      <c r="D54" s="1">
        <v>5</v>
      </c>
    </row>
    <row r="55" spans="1:4">
      <c r="B55" s="1"/>
      <c r="C55" s="1"/>
      <c r="D55" s="1"/>
    </row>
    <row r="56" spans="1:4" ht="14.45" customHeight="1">
      <c r="A56" s="8" t="s">
        <v>154</v>
      </c>
      <c r="B56" s="1">
        <v>1</v>
      </c>
      <c r="C56" s="1" t="s">
        <v>154</v>
      </c>
      <c r="D56" s="1">
        <v>5</v>
      </c>
    </row>
    <row r="57" spans="1:4" ht="14.45" customHeight="1">
      <c r="A57" s="8"/>
      <c r="B57" s="1">
        <v>2</v>
      </c>
      <c r="C57" s="1" t="s">
        <v>154</v>
      </c>
      <c r="D57" s="1">
        <v>5</v>
      </c>
    </row>
    <row r="58" spans="1:4" ht="14.45" customHeight="1">
      <c r="A58" s="8"/>
      <c r="B58" s="1">
        <v>3</v>
      </c>
      <c r="C58" s="1" t="s">
        <v>154</v>
      </c>
      <c r="D58" s="1">
        <v>5</v>
      </c>
    </row>
    <row r="59" spans="1:4" ht="14.45" customHeight="1">
      <c r="A59" s="8"/>
      <c r="B59" s="1">
        <v>4</v>
      </c>
      <c r="C59" s="1" t="s">
        <v>154</v>
      </c>
      <c r="D59" s="1">
        <v>5</v>
      </c>
    </row>
    <row r="60" spans="1:4" ht="14.45" customHeight="1">
      <c r="A60" s="8"/>
      <c r="B60" s="1">
        <v>5</v>
      </c>
      <c r="C60" s="1" t="s">
        <v>154</v>
      </c>
      <c r="D60" s="1">
        <v>5</v>
      </c>
    </row>
    <row r="61" spans="1:4">
      <c r="B61" s="1"/>
      <c r="C61" s="1"/>
      <c r="D61" s="1"/>
    </row>
    <row r="62" spans="1:4" ht="14.45" customHeight="1">
      <c r="A62" s="8" t="s">
        <v>155</v>
      </c>
      <c r="B62" s="1">
        <v>1</v>
      </c>
      <c r="C62" s="1" t="s">
        <v>155</v>
      </c>
      <c r="D62" s="1">
        <v>5</v>
      </c>
    </row>
    <row r="63" spans="1:4" ht="14.45" customHeight="1">
      <c r="A63" s="8"/>
      <c r="B63" s="1">
        <v>2</v>
      </c>
      <c r="C63" s="1" t="s">
        <v>155</v>
      </c>
      <c r="D63" s="1">
        <v>5</v>
      </c>
    </row>
    <row r="64" spans="1:4" ht="14.45" customHeight="1">
      <c r="A64" s="8"/>
      <c r="B64" s="1">
        <v>3</v>
      </c>
      <c r="C64" s="1" t="s">
        <v>155</v>
      </c>
      <c r="D64" s="1">
        <v>5</v>
      </c>
    </row>
    <row r="65" spans="1:4" ht="14.45" customHeight="1">
      <c r="A65" s="8"/>
      <c r="B65" s="1">
        <v>4</v>
      </c>
      <c r="C65" s="1" t="s">
        <v>155</v>
      </c>
      <c r="D65" s="1">
        <v>5</v>
      </c>
    </row>
    <row r="66" spans="1:4" ht="14.45" customHeight="1">
      <c r="A66" s="8"/>
      <c r="B66" s="1">
        <v>5</v>
      </c>
      <c r="C66" s="1" t="s">
        <v>155</v>
      </c>
      <c r="D66" s="1">
        <v>5</v>
      </c>
    </row>
    <row r="67" spans="1:4">
      <c r="A67" s="3"/>
      <c r="B67" s="1"/>
      <c r="C67" s="1"/>
      <c r="D67" s="1"/>
    </row>
    <row r="68" spans="1:4" ht="14.45" customHeight="1">
      <c r="A68" s="8" t="s">
        <v>156</v>
      </c>
      <c r="B68" s="1">
        <v>1</v>
      </c>
      <c r="C68" s="1" t="s">
        <v>157</v>
      </c>
      <c r="D68" s="1">
        <v>5</v>
      </c>
    </row>
    <row r="69" spans="1:4" ht="14.45" customHeight="1">
      <c r="A69" s="8"/>
      <c r="B69" s="1">
        <v>2</v>
      </c>
      <c r="C69" s="1" t="s">
        <v>158</v>
      </c>
      <c r="D69" s="1">
        <v>5</v>
      </c>
    </row>
    <row r="70" spans="1:4" ht="14.45" customHeight="1">
      <c r="A70" s="8"/>
      <c r="B70" s="1">
        <v>3</v>
      </c>
      <c r="C70" s="1" t="s">
        <v>158</v>
      </c>
      <c r="D70" s="1">
        <v>5</v>
      </c>
    </row>
    <row r="71" spans="1:4" ht="14.45" customHeight="1">
      <c r="A71" s="8"/>
      <c r="B71" s="1">
        <v>4</v>
      </c>
      <c r="C71" s="1" t="s">
        <v>158</v>
      </c>
      <c r="D71" s="1">
        <v>5</v>
      </c>
    </row>
    <row r="72" spans="1:4" ht="14.45" customHeight="1">
      <c r="A72" s="8"/>
      <c r="B72" s="1">
        <v>5</v>
      </c>
      <c r="C72" s="1" t="s">
        <v>158</v>
      </c>
      <c r="D72" s="1">
        <v>5</v>
      </c>
    </row>
    <row r="73" spans="1:4">
      <c r="A73" s="3"/>
      <c r="B73" s="1"/>
      <c r="C73" s="1"/>
      <c r="D73" s="1"/>
    </row>
    <row r="74" spans="1:4" ht="14.45" customHeight="1">
      <c r="A74" s="8" t="s">
        <v>159</v>
      </c>
      <c r="B74" s="1">
        <v>1</v>
      </c>
      <c r="C74" s="1" t="s">
        <v>159</v>
      </c>
      <c r="D74" s="1">
        <v>5</v>
      </c>
    </row>
    <row r="75" spans="1:4" ht="14.45" customHeight="1">
      <c r="A75" s="8"/>
      <c r="B75" s="1">
        <v>2</v>
      </c>
      <c r="C75" s="1" t="s">
        <v>159</v>
      </c>
      <c r="D75" s="1">
        <v>5</v>
      </c>
    </row>
    <row r="76" spans="1:4" ht="14.45" customHeight="1">
      <c r="A76" s="8"/>
      <c r="B76" s="1">
        <v>3</v>
      </c>
      <c r="C76" s="1" t="s">
        <v>159</v>
      </c>
      <c r="D76" s="1">
        <v>5</v>
      </c>
    </row>
    <row r="77" spans="1:4" ht="14.45" customHeight="1">
      <c r="A77" s="8"/>
      <c r="B77" s="1">
        <v>4</v>
      </c>
      <c r="C77" s="1" t="s">
        <v>159</v>
      </c>
      <c r="D77" s="1">
        <v>5</v>
      </c>
    </row>
    <row r="78" spans="1:4" ht="14.45" customHeight="1">
      <c r="A78" s="8"/>
      <c r="B78" s="1">
        <v>5</v>
      </c>
      <c r="C78" s="1" t="s">
        <v>159</v>
      </c>
      <c r="D78" s="1">
        <v>5</v>
      </c>
    </row>
    <row r="79" spans="1:4">
      <c r="A79" s="3"/>
      <c r="B79" s="1"/>
      <c r="C79" s="1"/>
      <c r="D79" s="1"/>
    </row>
    <row r="80" spans="1:4" ht="14.45" customHeight="1">
      <c r="A80" s="8" t="s">
        <v>160</v>
      </c>
      <c r="B80" s="1">
        <v>1</v>
      </c>
      <c r="C80" s="1" t="s">
        <v>161</v>
      </c>
      <c r="D80" s="1">
        <v>4</v>
      </c>
    </row>
    <row r="81" spans="1:4" ht="14.45" customHeight="1">
      <c r="A81" s="8"/>
      <c r="B81" s="1">
        <v>2</v>
      </c>
      <c r="C81" s="1" t="s">
        <v>160</v>
      </c>
      <c r="D81" s="1">
        <v>5</v>
      </c>
    </row>
    <row r="82" spans="1:4" ht="14.45" customHeight="1">
      <c r="A82" s="8"/>
      <c r="B82" s="1">
        <v>3</v>
      </c>
      <c r="C82" s="1" t="s">
        <v>160</v>
      </c>
      <c r="D82" s="1">
        <v>5</v>
      </c>
    </row>
    <row r="83" spans="1:4" ht="14.45" customHeight="1">
      <c r="A83" s="8"/>
      <c r="B83" s="1">
        <v>4</v>
      </c>
      <c r="C83" s="1" t="s">
        <v>160</v>
      </c>
      <c r="D83" s="1">
        <v>5</v>
      </c>
    </row>
    <row r="84" spans="1:4" ht="14.45" customHeight="1">
      <c r="A84" s="8"/>
      <c r="B84" s="1">
        <v>5</v>
      </c>
      <c r="C84" s="1" t="s">
        <v>160</v>
      </c>
      <c r="D84" s="1">
        <v>5</v>
      </c>
    </row>
    <row r="85" spans="1:4">
      <c r="A85" s="3"/>
      <c r="B85" s="1"/>
      <c r="C85" s="1"/>
      <c r="D85" s="1"/>
    </row>
    <row r="86" spans="1:4" ht="14.45" customHeight="1">
      <c r="A86" s="8" t="s">
        <v>162</v>
      </c>
      <c r="B86" s="1">
        <v>1</v>
      </c>
      <c r="C86" s="1" t="s">
        <v>162</v>
      </c>
      <c r="D86" s="1">
        <v>5</v>
      </c>
    </row>
    <row r="87" spans="1:4" ht="14.45" customHeight="1">
      <c r="A87" s="8"/>
      <c r="B87" s="1">
        <v>2</v>
      </c>
      <c r="C87" s="1" t="s">
        <v>162</v>
      </c>
      <c r="D87" s="1">
        <v>5</v>
      </c>
    </row>
    <row r="88" spans="1:4" ht="14.45" customHeight="1">
      <c r="A88" s="8"/>
      <c r="B88" s="1">
        <v>3</v>
      </c>
      <c r="C88" s="1" t="s">
        <v>163</v>
      </c>
      <c r="D88" s="1">
        <v>4</v>
      </c>
    </row>
    <row r="89" spans="1:4" ht="14.45" customHeight="1">
      <c r="A89" s="8"/>
      <c r="B89" s="1">
        <v>4</v>
      </c>
      <c r="C89" s="1" t="s">
        <v>162</v>
      </c>
      <c r="D89" s="1">
        <v>5</v>
      </c>
    </row>
    <row r="90" spans="1:4" ht="14.45" customHeight="1">
      <c r="A90" s="8"/>
      <c r="B90" s="1">
        <v>5</v>
      </c>
      <c r="C90" s="1" t="s">
        <v>162</v>
      </c>
      <c r="D90" s="1">
        <v>5</v>
      </c>
    </row>
    <row r="91" spans="1:4">
      <c r="A91" s="3"/>
      <c r="B91" s="1"/>
      <c r="C91" s="1"/>
      <c r="D91" s="1"/>
    </row>
    <row r="92" spans="1:4" ht="14.45" customHeight="1">
      <c r="A92" s="8" t="s">
        <v>164</v>
      </c>
      <c r="B92" s="1">
        <v>1</v>
      </c>
      <c r="C92" s="1" t="s">
        <v>164</v>
      </c>
      <c r="D92" s="1">
        <v>5</v>
      </c>
    </row>
    <row r="93" spans="1:4" ht="14.45" customHeight="1">
      <c r="A93" s="8"/>
      <c r="B93" s="1">
        <v>2</v>
      </c>
      <c r="C93" s="1" t="s">
        <v>164</v>
      </c>
      <c r="D93" s="1">
        <v>5</v>
      </c>
    </row>
    <row r="94" spans="1:4" ht="14.45" customHeight="1">
      <c r="A94" s="8"/>
      <c r="B94" s="1">
        <v>3</v>
      </c>
      <c r="C94" s="1" t="s">
        <v>164</v>
      </c>
      <c r="D94" s="1">
        <v>5</v>
      </c>
    </row>
    <row r="95" spans="1:4" ht="14.45" customHeight="1">
      <c r="A95" s="8"/>
      <c r="B95" s="1">
        <v>4</v>
      </c>
      <c r="C95" s="1" t="s">
        <v>164</v>
      </c>
      <c r="D95" s="1">
        <v>5</v>
      </c>
    </row>
    <row r="96" spans="1:4" ht="14.45" customHeight="1">
      <c r="A96" s="8"/>
      <c r="B96" s="1">
        <v>5</v>
      </c>
      <c r="C96" s="1" t="s">
        <v>164</v>
      </c>
      <c r="D96" s="1">
        <v>5</v>
      </c>
    </row>
    <row r="97" spans="1:4">
      <c r="A97" s="3"/>
      <c r="B97" s="1"/>
      <c r="C97" s="1"/>
      <c r="D97" s="1"/>
    </row>
    <row r="98" spans="1:4" ht="14.45" customHeight="1">
      <c r="A98" s="8" t="s">
        <v>165</v>
      </c>
      <c r="B98" s="1">
        <v>1</v>
      </c>
      <c r="C98" s="1" t="s">
        <v>165</v>
      </c>
      <c r="D98" s="1">
        <v>5</v>
      </c>
    </row>
    <row r="99" spans="1:4" ht="14.45" customHeight="1">
      <c r="A99" s="8"/>
      <c r="B99" s="1">
        <v>2</v>
      </c>
      <c r="C99" s="1" t="s">
        <v>165</v>
      </c>
      <c r="D99" s="1">
        <v>5</v>
      </c>
    </row>
    <row r="100" spans="1:4" ht="14.45" customHeight="1">
      <c r="A100" s="8"/>
      <c r="B100" s="1">
        <v>3</v>
      </c>
      <c r="C100" s="1" t="s">
        <v>165</v>
      </c>
      <c r="D100" s="1">
        <v>5</v>
      </c>
    </row>
    <row r="101" spans="1:4" ht="14.45" customHeight="1">
      <c r="A101" s="8"/>
      <c r="B101" s="1">
        <v>4</v>
      </c>
      <c r="C101" s="1" t="s">
        <v>165</v>
      </c>
      <c r="D101" s="1">
        <v>5</v>
      </c>
    </row>
    <row r="102" spans="1:4" ht="14.45" customHeight="1">
      <c r="A102" s="8"/>
      <c r="B102" s="1">
        <v>5</v>
      </c>
      <c r="C102" s="1" t="s">
        <v>165</v>
      </c>
      <c r="D102" s="1">
        <v>5</v>
      </c>
    </row>
    <row r="103" spans="1:4">
      <c r="A103" s="3"/>
      <c r="B103" s="1"/>
      <c r="C103" s="1"/>
      <c r="D103" s="1"/>
    </row>
    <row r="104" spans="1:4" ht="14.45" customHeight="1">
      <c r="A104" s="8" t="s">
        <v>166</v>
      </c>
      <c r="B104" s="1">
        <v>1</v>
      </c>
      <c r="C104" s="1" t="s">
        <v>166</v>
      </c>
      <c r="D104" s="1">
        <v>5</v>
      </c>
    </row>
    <row r="105" spans="1:4" ht="14.45" customHeight="1">
      <c r="A105" s="8"/>
      <c r="B105" s="1">
        <v>2</v>
      </c>
      <c r="C105" s="1" t="s">
        <v>166</v>
      </c>
      <c r="D105" s="1">
        <v>5</v>
      </c>
    </row>
    <row r="106" spans="1:4" ht="14.45" customHeight="1">
      <c r="A106" s="8"/>
      <c r="B106" s="1">
        <v>3</v>
      </c>
      <c r="C106" s="1" t="s">
        <v>166</v>
      </c>
      <c r="D106" s="1">
        <v>5</v>
      </c>
    </row>
    <row r="107" spans="1:4" ht="14.45" customHeight="1">
      <c r="A107" s="8"/>
      <c r="B107" s="1">
        <v>4</v>
      </c>
      <c r="C107" s="1" t="s">
        <v>166</v>
      </c>
      <c r="D107" s="1">
        <v>5</v>
      </c>
    </row>
    <row r="108" spans="1:4" ht="14.45" customHeight="1">
      <c r="A108" s="8"/>
      <c r="B108" s="1">
        <v>5</v>
      </c>
      <c r="C108" s="1" t="s">
        <v>166</v>
      </c>
      <c r="D108" s="1">
        <v>5</v>
      </c>
    </row>
    <row r="109" spans="1:4">
      <c r="A109" s="3"/>
      <c r="B109" s="1"/>
      <c r="C109" s="1"/>
      <c r="D109" s="1"/>
    </row>
    <row r="110" spans="1:4" ht="14.45" customHeight="1">
      <c r="A110" s="8" t="s">
        <v>167</v>
      </c>
      <c r="B110" s="1">
        <v>1</v>
      </c>
      <c r="C110" s="1" t="s">
        <v>167</v>
      </c>
      <c r="D110" s="1">
        <v>5</v>
      </c>
    </row>
    <row r="111" spans="1:4" ht="14.45" customHeight="1">
      <c r="A111" s="8"/>
      <c r="B111" s="1">
        <v>2</v>
      </c>
      <c r="C111" s="1" t="s">
        <v>167</v>
      </c>
      <c r="D111" s="1">
        <v>5</v>
      </c>
    </row>
    <row r="112" spans="1:4" ht="14.45" customHeight="1">
      <c r="A112" s="8"/>
      <c r="B112" s="1">
        <v>3</v>
      </c>
      <c r="C112" s="1" t="s">
        <v>167</v>
      </c>
      <c r="D112" s="1">
        <v>5</v>
      </c>
    </row>
    <row r="113" spans="1:4" ht="14.45" customHeight="1">
      <c r="A113" s="8"/>
      <c r="B113" s="1">
        <v>4</v>
      </c>
      <c r="C113" s="1" t="s">
        <v>167</v>
      </c>
      <c r="D113" s="1">
        <v>5</v>
      </c>
    </row>
    <row r="114" spans="1:4" ht="14.45" customHeight="1">
      <c r="A114" s="8"/>
      <c r="B114" s="1">
        <v>5</v>
      </c>
      <c r="C114" s="1" t="s">
        <v>167</v>
      </c>
      <c r="D114" s="1">
        <v>5</v>
      </c>
    </row>
    <row r="115" spans="1:4">
      <c r="A115" s="3"/>
      <c r="B115" s="1"/>
      <c r="C115" s="1"/>
      <c r="D115" s="1"/>
    </row>
    <row r="116" spans="1:4" ht="14.45" customHeight="1">
      <c r="A116" s="8" t="s">
        <v>168</v>
      </c>
      <c r="B116" s="1">
        <v>1</v>
      </c>
      <c r="C116" s="1" t="s">
        <v>168</v>
      </c>
      <c r="D116" s="1">
        <v>5</v>
      </c>
    </row>
    <row r="117" spans="1:4" ht="14.45" customHeight="1">
      <c r="A117" s="8"/>
      <c r="B117" s="1">
        <v>2</v>
      </c>
      <c r="C117" s="1" t="s">
        <v>168</v>
      </c>
      <c r="D117" s="1">
        <v>5</v>
      </c>
    </row>
    <row r="118" spans="1:4" ht="14.45" customHeight="1">
      <c r="A118" s="8"/>
      <c r="B118" s="1">
        <v>3</v>
      </c>
      <c r="C118" s="1" t="s">
        <v>168</v>
      </c>
      <c r="D118" s="1">
        <v>5</v>
      </c>
    </row>
    <row r="119" spans="1:4" ht="14.45" customHeight="1">
      <c r="A119" s="8"/>
      <c r="B119" s="1">
        <v>4</v>
      </c>
      <c r="C119" s="1" t="s">
        <v>168</v>
      </c>
      <c r="D119" s="1">
        <v>5</v>
      </c>
    </row>
    <row r="120" spans="1:4" ht="14.45" customHeight="1">
      <c r="A120" s="8"/>
      <c r="B120" s="1">
        <v>5</v>
      </c>
      <c r="C120" s="1" t="s">
        <v>168</v>
      </c>
      <c r="D120" s="1">
        <v>5</v>
      </c>
    </row>
    <row r="121" spans="1:4">
      <c r="B121" s="1"/>
      <c r="C121" s="1"/>
      <c r="D121" s="1"/>
    </row>
    <row r="122" spans="1:4">
      <c r="B122" s="1"/>
    </row>
    <row r="123" spans="1:4">
      <c r="B123" s="1"/>
      <c r="C123" s="1" t="s">
        <v>37</v>
      </c>
      <c r="D123" s="1">
        <f>D116+D110+D104+D98+D92+D86+D80+D74+D68+D62+D56+D50+D44+D38+D32+D26+D20+D14+D8</f>
        <v>94</v>
      </c>
    </row>
    <row r="124" spans="1:4">
      <c r="B124" s="1"/>
      <c r="C124" s="1" t="s">
        <v>38</v>
      </c>
      <c r="D124" s="1">
        <f>D117+D111+D105+D99+D93+D87+D81+D75+D69+D63+D57+D51+D45+D39+D33+D27+D21+D15+D9+D3</f>
        <v>100</v>
      </c>
    </row>
    <row r="125" spans="1:4">
      <c r="B125" s="1"/>
      <c r="C125" s="1" t="s">
        <v>39</v>
      </c>
      <c r="D125" s="1">
        <f>D118+D106+D112+D100+D94+D88+D82+D76+D70+D64+D58+D52+D46+D40+D34+D28+D22+D16+D10+D4</f>
        <v>99</v>
      </c>
    </row>
    <row r="126" spans="1:4">
      <c r="B126" s="1"/>
      <c r="C126" s="1" t="s">
        <v>40</v>
      </c>
      <c r="D126" s="1">
        <f>D119+D107+D113+D101+D95+D89+D83+D77+D71+D65+D59+D53+D47+D41+D35+D29+D23+D17+D11+D5</f>
        <v>100</v>
      </c>
    </row>
    <row r="127" spans="1:4">
      <c r="B127" s="1"/>
      <c r="C127" s="1" t="s">
        <v>41</v>
      </c>
      <c r="D127" s="1">
        <f>D120+D114+D108+D102+D96+D90+D84+D78+D72+D66+D60+D54+D48+D42+D36+D30+D24+D18+D12+D6</f>
        <v>100</v>
      </c>
    </row>
    <row r="128" spans="1:4">
      <c r="C128" s="1" t="s">
        <v>42</v>
      </c>
      <c r="D128" s="1">
        <f>(D123+D124+D125+D127++D126)/5</f>
        <v>98.6</v>
      </c>
    </row>
    <row r="130" spans="3:4">
      <c r="C130" s="1" t="s">
        <v>43</v>
      </c>
      <c r="D130" s="1">
        <f>D123/20</f>
        <v>4.7</v>
      </c>
    </row>
    <row r="131" spans="3:4">
      <c r="C131" s="1" t="s">
        <v>44</v>
      </c>
      <c r="D131" s="1">
        <f>D124/20</f>
        <v>5</v>
      </c>
    </row>
    <row r="132" spans="3:4">
      <c r="C132" s="1" t="s">
        <v>45</v>
      </c>
      <c r="D132" s="1">
        <f>D125/20</f>
        <v>4.95</v>
      </c>
    </row>
    <row r="133" spans="3:4">
      <c r="C133" s="1" t="s">
        <v>46</v>
      </c>
      <c r="D133" s="1">
        <f>D126/20</f>
        <v>5</v>
      </c>
    </row>
    <row r="134" spans="3:4">
      <c r="C134" s="1" t="s">
        <v>47</v>
      </c>
      <c r="D134" s="1">
        <f>D127/20</f>
        <v>5</v>
      </c>
    </row>
    <row r="135" spans="3:4">
      <c r="C135" s="1" t="s">
        <v>102</v>
      </c>
      <c r="D135" s="1">
        <f>SUM(D2:D120)/100</f>
        <v>4.9800000000000004</v>
      </c>
    </row>
  </sheetData>
  <mergeCells count="20">
    <mergeCell ref="A110:A114"/>
    <mergeCell ref="A116:A120"/>
    <mergeCell ref="A74:A78"/>
    <mergeCell ref="A80:A84"/>
    <mergeCell ref="A86:A90"/>
    <mergeCell ref="A92:A96"/>
    <mergeCell ref="A98:A102"/>
    <mergeCell ref="A104:A108"/>
    <mergeCell ref="A68:A72"/>
    <mergeCell ref="A2:A6"/>
    <mergeCell ref="A8:A12"/>
    <mergeCell ref="A14:A18"/>
    <mergeCell ref="A20:A24"/>
    <mergeCell ref="A26:A30"/>
    <mergeCell ref="A32:A36"/>
    <mergeCell ref="A38:A42"/>
    <mergeCell ref="A44:A48"/>
    <mergeCell ref="A50:A54"/>
    <mergeCell ref="A56:A60"/>
    <mergeCell ref="A62:A6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0056-2714-4E33-A278-ABA920CADE00}">
  <dimension ref="A1:G135"/>
  <sheetViews>
    <sheetView tabSelected="1" workbookViewId="0">
      <selection activeCell="G4" sqref="G4"/>
    </sheetView>
  </sheetViews>
  <sheetFormatPr defaultRowHeight="14.45"/>
  <cols>
    <col min="1" max="1" width="31" customWidth="1"/>
    <col min="2" max="2" width="16" customWidth="1"/>
    <col min="3" max="3" width="33.28515625" customWidth="1"/>
    <col min="4" max="4" width="17.5703125" customWidth="1"/>
  </cols>
  <sheetData>
    <row r="1" spans="1:7">
      <c r="A1" s="4" t="s">
        <v>0</v>
      </c>
      <c r="B1" s="4" t="s">
        <v>169</v>
      </c>
      <c r="C1" s="4" t="s">
        <v>0</v>
      </c>
      <c r="D1" s="4" t="s">
        <v>2</v>
      </c>
    </row>
    <row r="2" spans="1:7" ht="14.45" customHeight="1">
      <c r="A2" s="8" t="s">
        <v>170</v>
      </c>
      <c r="B2" s="2">
        <v>1</v>
      </c>
      <c r="C2" s="2" t="s">
        <v>170</v>
      </c>
      <c r="D2" s="2">
        <v>5</v>
      </c>
      <c r="F2" t="s">
        <v>5</v>
      </c>
      <c r="G2" t="s">
        <v>171</v>
      </c>
    </row>
    <row r="3" spans="1:7" ht="14.45" customHeight="1">
      <c r="A3" s="8"/>
      <c r="B3" s="2">
        <v>2</v>
      </c>
      <c r="C3" s="2" t="s">
        <v>170</v>
      </c>
      <c r="D3" s="2">
        <v>5</v>
      </c>
      <c r="F3">
        <f>1</f>
        <v>1</v>
      </c>
      <c r="G3">
        <f>8/77*100</f>
        <v>10.38961038961039</v>
      </c>
    </row>
    <row r="4" spans="1:7" ht="14.45" customHeight="1">
      <c r="A4" s="8"/>
      <c r="B4" s="2">
        <v>3</v>
      </c>
      <c r="C4" s="2" t="s">
        <v>170</v>
      </c>
      <c r="D4" s="2">
        <v>5</v>
      </c>
    </row>
    <row r="5" spans="1:7" ht="14.45" customHeight="1">
      <c r="A5" s="8"/>
      <c r="B5" s="2">
        <v>4</v>
      </c>
      <c r="C5" s="2" t="s">
        <v>170</v>
      </c>
      <c r="D5" s="2">
        <v>5</v>
      </c>
    </row>
    <row r="6" spans="1:7" ht="14.45" customHeight="1">
      <c r="A6" s="8"/>
      <c r="B6" s="2">
        <v>5</v>
      </c>
      <c r="C6" s="2" t="s">
        <v>170</v>
      </c>
      <c r="D6" s="2">
        <v>5</v>
      </c>
    </row>
    <row r="7" spans="1:7">
      <c r="B7" s="2"/>
      <c r="C7" s="2"/>
      <c r="D7" s="2"/>
    </row>
    <row r="8" spans="1:7" ht="14.45" customHeight="1">
      <c r="A8" s="8" t="s">
        <v>172</v>
      </c>
      <c r="B8" s="2">
        <v>1</v>
      </c>
      <c r="C8" s="2" t="s">
        <v>172</v>
      </c>
      <c r="D8" s="2">
        <v>5</v>
      </c>
    </row>
    <row r="9" spans="1:7" ht="14.45" customHeight="1">
      <c r="A9" s="8"/>
      <c r="B9" s="2">
        <v>2</v>
      </c>
      <c r="C9" s="2" t="s">
        <v>172</v>
      </c>
      <c r="D9" s="2">
        <v>5</v>
      </c>
    </row>
    <row r="10" spans="1:7" ht="14.45" customHeight="1">
      <c r="A10" s="8"/>
      <c r="B10" s="2">
        <v>3</v>
      </c>
      <c r="C10" s="2" t="s">
        <v>172</v>
      </c>
      <c r="D10" s="2">
        <v>5</v>
      </c>
    </row>
    <row r="11" spans="1:7" ht="14.45" customHeight="1">
      <c r="A11" s="8"/>
      <c r="B11" s="2">
        <v>4</v>
      </c>
      <c r="C11" s="2" t="s">
        <v>172</v>
      </c>
      <c r="D11" s="2">
        <v>5</v>
      </c>
    </row>
    <row r="12" spans="1:7" ht="14.45" customHeight="1">
      <c r="A12" s="8"/>
      <c r="B12" s="2">
        <v>5</v>
      </c>
      <c r="C12" s="2" t="s">
        <v>172</v>
      </c>
      <c r="D12" s="2">
        <v>5</v>
      </c>
    </row>
    <row r="13" spans="1:7">
      <c r="B13" s="2"/>
      <c r="C13" s="2"/>
      <c r="D13" s="2"/>
    </row>
    <row r="14" spans="1:7" ht="14.45" customHeight="1">
      <c r="A14" s="8" t="s">
        <v>173</v>
      </c>
      <c r="B14" s="2">
        <v>1</v>
      </c>
      <c r="C14" s="2" t="s">
        <v>173</v>
      </c>
      <c r="D14" s="2">
        <v>5</v>
      </c>
    </row>
    <row r="15" spans="1:7" ht="14.45" customHeight="1">
      <c r="A15" s="8"/>
      <c r="B15" s="2">
        <v>2</v>
      </c>
      <c r="C15" s="2" t="s">
        <v>173</v>
      </c>
      <c r="D15" s="2">
        <v>5</v>
      </c>
    </row>
    <row r="16" spans="1:7" ht="14.45" customHeight="1">
      <c r="A16" s="8"/>
      <c r="B16" s="2">
        <v>3</v>
      </c>
      <c r="C16" s="2" t="s">
        <v>173</v>
      </c>
      <c r="D16" s="2">
        <v>5</v>
      </c>
    </row>
    <row r="17" spans="1:4" ht="14.45" customHeight="1">
      <c r="A17" s="8"/>
      <c r="B17" s="2">
        <v>4</v>
      </c>
      <c r="C17" s="2" t="s">
        <v>173</v>
      </c>
      <c r="D17" s="2">
        <v>5</v>
      </c>
    </row>
    <row r="18" spans="1:4" ht="14.45" customHeight="1">
      <c r="A18" s="8"/>
      <c r="B18" s="2">
        <v>5</v>
      </c>
      <c r="C18" s="2" t="s">
        <v>173</v>
      </c>
      <c r="D18" s="2">
        <v>5</v>
      </c>
    </row>
    <row r="19" spans="1:4">
      <c r="B19" s="2"/>
      <c r="C19" s="2"/>
      <c r="D19" s="2"/>
    </row>
    <row r="20" spans="1:4" ht="14.45" customHeight="1">
      <c r="A20" s="8" t="s">
        <v>174</v>
      </c>
      <c r="B20" s="2">
        <v>1</v>
      </c>
      <c r="C20" s="2" t="s">
        <v>174</v>
      </c>
      <c r="D20" s="2">
        <v>5</v>
      </c>
    </row>
    <row r="21" spans="1:4" ht="14.45" customHeight="1">
      <c r="A21" s="8"/>
      <c r="B21" s="2">
        <v>2</v>
      </c>
      <c r="C21" s="2" t="s">
        <v>174</v>
      </c>
      <c r="D21" s="2">
        <v>5</v>
      </c>
    </row>
    <row r="22" spans="1:4" ht="14.45" customHeight="1">
      <c r="A22" s="8"/>
      <c r="B22" s="2">
        <v>3</v>
      </c>
      <c r="C22" s="2" t="s">
        <v>175</v>
      </c>
      <c r="D22" s="2">
        <v>4</v>
      </c>
    </row>
    <row r="23" spans="1:4" ht="14.45" customHeight="1">
      <c r="A23" s="8"/>
      <c r="B23" s="2">
        <v>4</v>
      </c>
      <c r="C23" s="2" t="s">
        <v>174</v>
      </c>
      <c r="D23" s="2">
        <v>5</v>
      </c>
    </row>
    <row r="24" spans="1:4" ht="14.45" customHeight="1">
      <c r="A24" s="8"/>
      <c r="B24" s="2">
        <v>5</v>
      </c>
      <c r="C24" s="2" t="s">
        <v>174</v>
      </c>
      <c r="D24" s="2">
        <v>5</v>
      </c>
    </row>
    <row r="25" spans="1:4">
      <c r="B25" s="2"/>
      <c r="C25" s="2"/>
      <c r="D25" s="2"/>
    </row>
    <row r="26" spans="1:4" ht="14.45" customHeight="1">
      <c r="A26" s="8" t="s">
        <v>176</v>
      </c>
      <c r="B26" s="2">
        <v>1</v>
      </c>
      <c r="C26" s="2" t="s">
        <v>176</v>
      </c>
      <c r="D26" s="2">
        <v>5</v>
      </c>
    </row>
    <row r="27" spans="1:4" ht="14.45" customHeight="1">
      <c r="A27" s="8"/>
      <c r="B27" s="2">
        <v>2</v>
      </c>
      <c r="C27" s="2" t="s">
        <v>177</v>
      </c>
      <c r="D27" s="2">
        <v>5</v>
      </c>
    </row>
    <row r="28" spans="1:4" ht="14.45" customHeight="1">
      <c r="A28" s="8"/>
      <c r="B28" s="2">
        <v>3</v>
      </c>
      <c r="C28" s="2" t="s">
        <v>176</v>
      </c>
      <c r="D28" s="2">
        <v>5</v>
      </c>
    </row>
    <row r="29" spans="1:4" ht="14.45" customHeight="1">
      <c r="A29" s="8"/>
      <c r="B29" s="2">
        <v>4</v>
      </c>
      <c r="C29" s="2" t="s">
        <v>176</v>
      </c>
      <c r="D29" s="2">
        <v>5</v>
      </c>
    </row>
    <row r="30" spans="1:4" ht="14.45" customHeight="1">
      <c r="A30" s="8"/>
      <c r="B30" s="2">
        <v>5</v>
      </c>
      <c r="C30" s="2" t="s">
        <v>176</v>
      </c>
      <c r="D30" s="2">
        <v>5</v>
      </c>
    </row>
    <row r="31" spans="1:4">
      <c r="B31" s="2"/>
      <c r="C31" s="2"/>
      <c r="D31" s="2"/>
    </row>
    <row r="32" spans="1:4" ht="14.45" customHeight="1">
      <c r="A32" s="8" t="s">
        <v>178</v>
      </c>
      <c r="B32" s="2">
        <v>1</v>
      </c>
      <c r="C32" s="2" t="s">
        <v>179</v>
      </c>
      <c r="D32" s="2">
        <v>5</v>
      </c>
    </row>
    <row r="33" spans="1:4" ht="14.45" customHeight="1">
      <c r="A33" s="8"/>
      <c r="B33" s="2">
        <v>2</v>
      </c>
      <c r="C33" s="2" t="s">
        <v>178</v>
      </c>
      <c r="D33" s="2">
        <v>5</v>
      </c>
    </row>
    <row r="34" spans="1:4" ht="14.45" customHeight="1">
      <c r="A34" s="8"/>
      <c r="B34" s="2">
        <v>3</v>
      </c>
      <c r="C34" s="2" t="s">
        <v>180</v>
      </c>
      <c r="D34" s="2">
        <v>4</v>
      </c>
    </row>
    <row r="35" spans="1:4" ht="14.45" customHeight="1">
      <c r="A35" s="8"/>
      <c r="B35" s="2">
        <v>4</v>
      </c>
      <c r="C35" s="2" t="s">
        <v>178</v>
      </c>
      <c r="D35" s="2">
        <v>5</v>
      </c>
    </row>
    <row r="36" spans="1:4" ht="14.45" customHeight="1">
      <c r="A36" s="8"/>
      <c r="B36" s="2">
        <v>5</v>
      </c>
      <c r="C36" s="2" t="s">
        <v>178</v>
      </c>
      <c r="D36" s="2">
        <v>5</v>
      </c>
    </row>
    <row r="37" spans="1:4">
      <c r="B37" s="2"/>
      <c r="C37" s="2"/>
      <c r="D37" s="2"/>
    </row>
    <row r="38" spans="1:4" ht="14.45" customHeight="1">
      <c r="A38" s="8" t="s">
        <v>181</v>
      </c>
      <c r="B38" s="2">
        <v>1</v>
      </c>
      <c r="C38" s="2" t="s">
        <v>182</v>
      </c>
      <c r="D38" s="2">
        <v>5</v>
      </c>
    </row>
    <row r="39" spans="1:4" ht="14.45" customHeight="1">
      <c r="A39" s="8"/>
      <c r="B39" s="2">
        <v>2</v>
      </c>
      <c r="C39" s="2" t="s">
        <v>181</v>
      </c>
      <c r="D39" s="2">
        <v>5</v>
      </c>
    </row>
    <row r="40" spans="1:4" ht="14.45" customHeight="1">
      <c r="A40" s="8"/>
      <c r="B40" s="2">
        <v>3</v>
      </c>
      <c r="C40" s="2" t="s">
        <v>181</v>
      </c>
      <c r="D40" s="2">
        <v>5</v>
      </c>
    </row>
    <row r="41" spans="1:4" ht="14.45" customHeight="1">
      <c r="A41" s="8"/>
      <c r="B41" s="2">
        <v>4</v>
      </c>
      <c r="C41" s="2" t="s">
        <v>181</v>
      </c>
      <c r="D41" s="2">
        <v>5</v>
      </c>
    </row>
    <row r="42" spans="1:4" ht="14.45" customHeight="1">
      <c r="A42" s="8"/>
      <c r="B42" s="2">
        <v>5</v>
      </c>
      <c r="C42" s="2" t="s">
        <v>181</v>
      </c>
      <c r="D42" s="2">
        <v>5</v>
      </c>
    </row>
    <row r="43" spans="1:4" ht="14.45" customHeight="1">
      <c r="B43" s="2"/>
      <c r="C43" s="2"/>
      <c r="D43" s="2"/>
    </row>
    <row r="44" spans="1:4" ht="14.45" customHeight="1">
      <c r="A44" s="8" t="s">
        <v>183</v>
      </c>
      <c r="B44" s="2">
        <v>1</v>
      </c>
      <c r="C44" s="2" t="s">
        <v>184</v>
      </c>
      <c r="D44" s="2">
        <v>5</v>
      </c>
    </row>
    <row r="45" spans="1:4" ht="14.45" customHeight="1">
      <c r="A45" s="8"/>
      <c r="B45" s="2">
        <v>2</v>
      </c>
      <c r="C45" s="2" t="s">
        <v>183</v>
      </c>
      <c r="D45" s="2">
        <v>5</v>
      </c>
    </row>
    <row r="46" spans="1:4" ht="14.45" customHeight="1">
      <c r="A46" s="8"/>
      <c r="B46" s="2">
        <v>3</v>
      </c>
      <c r="C46" s="2" t="s">
        <v>183</v>
      </c>
      <c r="D46" s="2">
        <v>5</v>
      </c>
    </row>
    <row r="47" spans="1:4" ht="14.45" customHeight="1">
      <c r="A47" s="8"/>
      <c r="B47" s="2">
        <v>4</v>
      </c>
      <c r="C47" s="2" t="s">
        <v>183</v>
      </c>
      <c r="D47" s="2">
        <v>5</v>
      </c>
    </row>
    <row r="48" spans="1:4" ht="14.45" customHeight="1">
      <c r="A48" s="8"/>
      <c r="B48" s="2">
        <v>5</v>
      </c>
      <c r="C48" s="2" t="s">
        <v>183</v>
      </c>
      <c r="D48" s="2">
        <v>5</v>
      </c>
    </row>
    <row r="49" spans="1:4">
      <c r="B49" s="2"/>
      <c r="C49" s="2"/>
      <c r="D49" s="2"/>
    </row>
    <row r="50" spans="1:4" ht="14.45" customHeight="1">
      <c r="A50" s="8" t="s">
        <v>185</v>
      </c>
      <c r="B50" s="2">
        <v>1</v>
      </c>
      <c r="C50" s="2" t="s">
        <v>185</v>
      </c>
      <c r="D50" s="2">
        <v>5</v>
      </c>
    </row>
    <row r="51" spans="1:4" ht="14.45" customHeight="1">
      <c r="A51" s="8"/>
      <c r="B51" s="2">
        <v>2</v>
      </c>
      <c r="C51" s="2" t="s">
        <v>185</v>
      </c>
      <c r="D51" s="2">
        <v>5</v>
      </c>
    </row>
    <row r="52" spans="1:4" ht="14.45" customHeight="1">
      <c r="A52" s="8"/>
      <c r="B52" s="2">
        <v>3</v>
      </c>
      <c r="C52" s="2" t="s">
        <v>185</v>
      </c>
      <c r="D52" s="2">
        <v>5</v>
      </c>
    </row>
    <row r="53" spans="1:4" ht="14.45" customHeight="1">
      <c r="A53" s="8"/>
      <c r="B53" s="2">
        <v>4</v>
      </c>
      <c r="C53" s="2" t="s">
        <v>185</v>
      </c>
      <c r="D53" s="2">
        <v>5</v>
      </c>
    </row>
    <row r="54" spans="1:4" ht="14.45" customHeight="1">
      <c r="A54" s="8"/>
      <c r="B54" s="2">
        <v>5</v>
      </c>
      <c r="C54" s="2" t="s">
        <v>185</v>
      </c>
      <c r="D54" s="2">
        <v>5</v>
      </c>
    </row>
    <row r="55" spans="1:4">
      <c r="B55" s="2"/>
      <c r="C55" s="2"/>
      <c r="D55" s="2"/>
    </row>
    <row r="56" spans="1:4" ht="14.45" customHeight="1">
      <c r="A56" s="8" t="s">
        <v>186</v>
      </c>
      <c r="B56" s="2">
        <v>1</v>
      </c>
      <c r="C56" s="2" t="s">
        <v>187</v>
      </c>
      <c r="D56" s="2">
        <v>5</v>
      </c>
    </row>
    <row r="57" spans="1:4" ht="14.45" customHeight="1">
      <c r="A57" s="8"/>
      <c r="B57" s="2">
        <v>2</v>
      </c>
      <c r="C57" s="2" t="s">
        <v>186</v>
      </c>
      <c r="D57" s="2">
        <v>5</v>
      </c>
    </row>
    <row r="58" spans="1:4" ht="14.45" customHeight="1">
      <c r="A58" s="8"/>
      <c r="B58" s="2">
        <v>3</v>
      </c>
      <c r="C58" s="2" t="s">
        <v>188</v>
      </c>
      <c r="D58" s="2">
        <v>4</v>
      </c>
    </row>
    <row r="59" spans="1:4" ht="14.45" customHeight="1">
      <c r="A59" s="8"/>
      <c r="B59" s="2">
        <v>4</v>
      </c>
      <c r="C59" s="2" t="s">
        <v>186</v>
      </c>
      <c r="D59" s="2">
        <v>5</v>
      </c>
    </row>
    <row r="60" spans="1:4" ht="14.45" customHeight="1">
      <c r="A60" s="8"/>
      <c r="B60" s="2">
        <v>5</v>
      </c>
      <c r="C60" s="2" t="s">
        <v>186</v>
      </c>
      <c r="D60" s="2">
        <v>5</v>
      </c>
    </row>
    <row r="61" spans="1:4">
      <c r="A61" s="3"/>
      <c r="B61" s="2"/>
      <c r="C61" s="2"/>
      <c r="D61" s="2"/>
    </row>
    <row r="62" spans="1:4" ht="14.45" customHeight="1">
      <c r="A62" s="8" t="s">
        <v>189</v>
      </c>
      <c r="B62" s="2">
        <v>1</v>
      </c>
      <c r="C62" s="7" t="s">
        <v>189</v>
      </c>
      <c r="D62" s="2">
        <v>5</v>
      </c>
    </row>
    <row r="63" spans="1:4" ht="14.45" customHeight="1">
      <c r="A63" s="8"/>
      <c r="B63" s="2">
        <v>2</v>
      </c>
      <c r="C63" s="7" t="s">
        <v>189</v>
      </c>
      <c r="D63" s="2">
        <v>5</v>
      </c>
    </row>
    <row r="64" spans="1:4" ht="14.45" customHeight="1">
      <c r="A64" s="8"/>
      <c r="B64" s="2">
        <v>3</v>
      </c>
      <c r="C64" s="7" t="s">
        <v>189</v>
      </c>
      <c r="D64" s="2">
        <v>5</v>
      </c>
    </row>
    <row r="65" spans="1:4" ht="14.45" customHeight="1">
      <c r="A65" s="8"/>
      <c r="B65" s="2">
        <v>4</v>
      </c>
      <c r="C65" s="7" t="s">
        <v>189</v>
      </c>
      <c r="D65" s="2">
        <v>5</v>
      </c>
    </row>
    <row r="66" spans="1:4" ht="14.45" customHeight="1">
      <c r="A66" s="8"/>
      <c r="B66" s="2">
        <v>5</v>
      </c>
      <c r="C66" s="7" t="s">
        <v>189</v>
      </c>
      <c r="D66" s="2">
        <v>5</v>
      </c>
    </row>
    <row r="67" spans="1:4">
      <c r="A67" s="3"/>
      <c r="B67" s="2"/>
      <c r="C67" s="2"/>
      <c r="D67" s="2"/>
    </row>
    <row r="68" spans="1:4" ht="14.45" customHeight="1">
      <c r="A68" s="8" t="s">
        <v>190</v>
      </c>
      <c r="B68" s="2">
        <v>1</v>
      </c>
      <c r="C68" s="2" t="s">
        <v>190</v>
      </c>
      <c r="D68" s="2">
        <v>5</v>
      </c>
    </row>
    <row r="69" spans="1:4" ht="14.45" customHeight="1">
      <c r="A69" s="8"/>
      <c r="B69" s="2">
        <v>2</v>
      </c>
      <c r="C69" s="7" t="s">
        <v>190</v>
      </c>
      <c r="D69" s="2">
        <v>5</v>
      </c>
    </row>
    <row r="70" spans="1:4" ht="14.45" customHeight="1">
      <c r="A70" s="8"/>
      <c r="B70" s="2">
        <v>3</v>
      </c>
      <c r="C70" s="7" t="s">
        <v>190</v>
      </c>
      <c r="D70" s="2">
        <v>5</v>
      </c>
    </row>
    <row r="71" spans="1:4" ht="14.45" customHeight="1">
      <c r="A71" s="8"/>
      <c r="B71" s="2">
        <v>4</v>
      </c>
      <c r="C71" s="7" t="s">
        <v>190</v>
      </c>
      <c r="D71" s="2">
        <v>5</v>
      </c>
    </row>
    <row r="72" spans="1:4" ht="14.45" customHeight="1">
      <c r="A72" s="8"/>
      <c r="B72" s="2">
        <v>5</v>
      </c>
      <c r="C72" s="7" t="s">
        <v>190</v>
      </c>
      <c r="D72" s="2">
        <v>5</v>
      </c>
    </row>
    <row r="73" spans="1:4">
      <c r="A73" s="3"/>
      <c r="B73" s="2"/>
      <c r="C73" s="2"/>
      <c r="D73" s="2"/>
    </row>
    <row r="74" spans="1:4" ht="14.45" customHeight="1">
      <c r="A74" s="8" t="s">
        <v>191</v>
      </c>
      <c r="B74" s="2">
        <v>1</v>
      </c>
      <c r="C74" s="2" t="s">
        <v>192</v>
      </c>
      <c r="D74" s="2">
        <v>4</v>
      </c>
    </row>
    <row r="75" spans="1:4" ht="14.45" customHeight="1">
      <c r="A75" s="8"/>
      <c r="B75" s="2">
        <v>2</v>
      </c>
      <c r="C75" s="2" t="s">
        <v>191</v>
      </c>
      <c r="D75" s="2">
        <v>5</v>
      </c>
    </row>
    <row r="76" spans="1:4" ht="14.45" customHeight="1">
      <c r="A76" s="8"/>
      <c r="B76" s="2">
        <v>3</v>
      </c>
      <c r="C76" s="7" t="s">
        <v>191</v>
      </c>
      <c r="D76" s="2">
        <v>5</v>
      </c>
    </row>
    <row r="77" spans="1:4" ht="14.45" customHeight="1">
      <c r="A77" s="8"/>
      <c r="B77" s="2">
        <v>4</v>
      </c>
      <c r="C77" s="7" t="s">
        <v>191</v>
      </c>
      <c r="D77" s="2">
        <v>5</v>
      </c>
    </row>
    <row r="78" spans="1:4" ht="14.45" customHeight="1">
      <c r="A78" s="8"/>
      <c r="B78" s="2">
        <v>5</v>
      </c>
      <c r="C78" s="7" t="s">
        <v>191</v>
      </c>
      <c r="D78" s="2">
        <v>5</v>
      </c>
    </row>
    <row r="79" spans="1:4">
      <c r="A79" s="3"/>
      <c r="B79" s="2"/>
      <c r="C79" s="2"/>
      <c r="D79" s="2"/>
    </row>
    <row r="80" spans="1:4" ht="14.45" customHeight="1">
      <c r="A80" s="8" t="s">
        <v>193</v>
      </c>
      <c r="B80" s="2">
        <v>1</v>
      </c>
      <c r="C80" s="7" t="s">
        <v>193</v>
      </c>
      <c r="D80" s="2">
        <v>5</v>
      </c>
    </row>
    <row r="81" spans="1:4" ht="14.45" customHeight="1">
      <c r="A81" s="8"/>
      <c r="B81" s="2">
        <v>2</v>
      </c>
      <c r="C81" s="7" t="s">
        <v>193</v>
      </c>
      <c r="D81" s="2">
        <v>5</v>
      </c>
    </row>
    <row r="82" spans="1:4" ht="14.45" customHeight="1">
      <c r="A82" s="8"/>
      <c r="B82" s="2">
        <v>3</v>
      </c>
      <c r="C82" s="7" t="s">
        <v>193</v>
      </c>
      <c r="D82" s="2">
        <v>5</v>
      </c>
    </row>
    <row r="83" spans="1:4" ht="14.45" customHeight="1">
      <c r="A83" s="8"/>
      <c r="B83" s="2">
        <v>4</v>
      </c>
      <c r="C83" s="7" t="s">
        <v>193</v>
      </c>
      <c r="D83" s="2">
        <v>5</v>
      </c>
    </row>
    <row r="84" spans="1:4" ht="14.45" customHeight="1">
      <c r="A84" s="8"/>
      <c r="B84" s="2">
        <v>5</v>
      </c>
      <c r="C84" s="7" t="s">
        <v>193</v>
      </c>
      <c r="D84" s="2">
        <v>5</v>
      </c>
    </row>
    <row r="85" spans="1:4">
      <c r="A85" s="3"/>
      <c r="B85" s="2"/>
      <c r="C85" s="2"/>
      <c r="D85" s="2"/>
    </row>
    <row r="86" spans="1:4" ht="14.45" customHeight="1">
      <c r="A86" s="8" t="s">
        <v>194</v>
      </c>
      <c r="B86" s="2">
        <v>1</v>
      </c>
      <c r="C86" s="7" t="s">
        <v>194</v>
      </c>
      <c r="D86" s="2">
        <v>5</v>
      </c>
    </row>
    <row r="87" spans="1:4" ht="14.45" customHeight="1">
      <c r="A87" s="8"/>
      <c r="B87" s="2">
        <v>2</v>
      </c>
      <c r="C87" s="7" t="s">
        <v>194</v>
      </c>
      <c r="D87" s="2">
        <v>5</v>
      </c>
    </row>
    <row r="88" spans="1:4" ht="14.45" customHeight="1">
      <c r="A88" s="8"/>
      <c r="B88" s="2">
        <v>3</v>
      </c>
      <c r="C88" s="7" t="s">
        <v>194</v>
      </c>
      <c r="D88" s="2">
        <v>5</v>
      </c>
    </row>
    <row r="89" spans="1:4" ht="14.45" customHeight="1">
      <c r="A89" s="8"/>
      <c r="B89" s="2">
        <v>4</v>
      </c>
      <c r="C89" s="7" t="s">
        <v>194</v>
      </c>
      <c r="D89" s="2">
        <v>5</v>
      </c>
    </row>
    <row r="90" spans="1:4" ht="14.45" customHeight="1">
      <c r="A90" s="8"/>
      <c r="B90" s="2">
        <v>5</v>
      </c>
      <c r="C90" s="7" t="s">
        <v>194</v>
      </c>
      <c r="D90" s="2">
        <v>5</v>
      </c>
    </row>
    <row r="91" spans="1:4">
      <c r="A91" s="3"/>
      <c r="B91" s="2"/>
      <c r="C91" s="2"/>
      <c r="D91" s="2"/>
    </row>
    <row r="92" spans="1:4" ht="14.45" customHeight="1">
      <c r="A92" s="8" t="s">
        <v>195</v>
      </c>
      <c r="B92" s="2">
        <v>1</v>
      </c>
      <c r="C92" s="7" t="s">
        <v>195</v>
      </c>
      <c r="D92" s="2">
        <v>5</v>
      </c>
    </row>
    <row r="93" spans="1:4" ht="14.45" customHeight="1">
      <c r="A93" s="8"/>
      <c r="B93" s="2">
        <v>2</v>
      </c>
      <c r="C93" s="7" t="s">
        <v>195</v>
      </c>
      <c r="D93" s="2">
        <v>5</v>
      </c>
    </row>
    <row r="94" spans="1:4" ht="14.45" customHeight="1">
      <c r="A94" s="8"/>
      <c r="B94" s="2">
        <v>3</v>
      </c>
      <c r="C94" s="7" t="s">
        <v>195</v>
      </c>
      <c r="D94" s="2">
        <v>5</v>
      </c>
    </row>
    <row r="95" spans="1:4" ht="14.45" customHeight="1">
      <c r="A95" s="8"/>
      <c r="B95" s="2">
        <v>4</v>
      </c>
      <c r="C95" s="7" t="s">
        <v>195</v>
      </c>
      <c r="D95" s="2">
        <v>5</v>
      </c>
    </row>
    <row r="96" spans="1:4" ht="14.45" customHeight="1">
      <c r="A96" s="8"/>
      <c r="B96" s="2">
        <v>5</v>
      </c>
      <c r="C96" s="7" t="s">
        <v>195</v>
      </c>
      <c r="D96" s="2">
        <v>5</v>
      </c>
    </row>
    <row r="97" spans="1:4">
      <c r="A97" s="3"/>
      <c r="B97" s="2"/>
      <c r="C97" s="2"/>
      <c r="D97" s="2"/>
    </row>
    <row r="98" spans="1:4" ht="14.45" customHeight="1">
      <c r="A98" s="8" t="s">
        <v>196</v>
      </c>
      <c r="B98" s="2">
        <v>1</v>
      </c>
      <c r="C98" s="7" t="s">
        <v>196</v>
      </c>
      <c r="D98" s="2">
        <v>5</v>
      </c>
    </row>
    <row r="99" spans="1:4" ht="14.45" customHeight="1">
      <c r="A99" s="8"/>
      <c r="B99" s="2">
        <v>2</v>
      </c>
      <c r="C99" s="7" t="s">
        <v>196</v>
      </c>
      <c r="D99" s="2">
        <v>5</v>
      </c>
    </row>
    <row r="100" spans="1:4" ht="14.45" customHeight="1">
      <c r="A100" s="8"/>
      <c r="B100" s="2">
        <v>3</v>
      </c>
      <c r="C100" s="7" t="s">
        <v>196</v>
      </c>
      <c r="D100" s="2">
        <v>5</v>
      </c>
    </row>
    <row r="101" spans="1:4" ht="14.45" customHeight="1">
      <c r="A101" s="8"/>
      <c r="B101" s="2">
        <v>4</v>
      </c>
      <c r="C101" s="7" t="s">
        <v>196</v>
      </c>
      <c r="D101" s="2">
        <v>5</v>
      </c>
    </row>
    <row r="102" spans="1:4" ht="14.45" customHeight="1">
      <c r="A102" s="8"/>
      <c r="B102" s="2">
        <v>5</v>
      </c>
      <c r="C102" s="7" t="s">
        <v>196</v>
      </c>
      <c r="D102" s="2">
        <v>5</v>
      </c>
    </row>
    <row r="103" spans="1:4">
      <c r="A103" s="3"/>
      <c r="B103" s="2"/>
      <c r="C103" s="2"/>
      <c r="D103" s="2"/>
    </row>
    <row r="104" spans="1:4" ht="14.45" customHeight="1">
      <c r="A104" s="8" t="s">
        <v>197</v>
      </c>
      <c r="B104" s="2">
        <v>1</v>
      </c>
      <c r="C104" s="2" t="s">
        <v>197</v>
      </c>
      <c r="D104" s="2">
        <v>5</v>
      </c>
    </row>
    <row r="105" spans="1:4" ht="14.45" customHeight="1">
      <c r="A105" s="8"/>
      <c r="B105" s="2">
        <v>2</v>
      </c>
      <c r="C105" s="7" t="s">
        <v>197</v>
      </c>
      <c r="D105" s="2">
        <v>5</v>
      </c>
    </row>
    <row r="106" spans="1:4" ht="14.45" customHeight="1">
      <c r="A106" s="8"/>
      <c r="B106" s="2">
        <v>3</v>
      </c>
      <c r="C106" s="7" t="s">
        <v>197</v>
      </c>
      <c r="D106" s="2">
        <v>5</v>
      </c>
    </row>
    <row r="107" spans="1:4" ht="14.45" customHeight="1">
      <c r="A107" s="8"/>
      <c r="B107" s="2">
        <v>4</v>
      </c>
      <c r="C107" s="7" t="s">
        <v>197</v>
      </c>
      <c r="D107" s="2">
        <v>5</v>
      </c>
    </row>
    <row r="108" spans="1:4" ht="14.45" customHeight="1">
      <c r="A108" s="8"/>
      <c r="B108" s="2">
        <v>5</v>
      </c>
      <c r="C108" s="7" t="s">
        <v>197</v>
      </c>
      <c r="D108" s="2">
        <v>5</v>
      </c>
    </row>
    <row r="109" spans="1:4">
      <c r="A109" s="3"/>
      <c r="B109" s="2"/>
      <c r="C109" s="2"/>
      <c r="D109" s="2"/>
    </row>
    <row r="110" spans="1:4" ht="14.45" customHeight="1">
      <c r="A110" s="8" t="s">
        <v>198</v>
      </c>
      <c r="B110" s="2">
        <v>1</v>
      </c>
      <c r="C110" s="2" t="s">
        <v>199</v>
      </c>
      <c r="D110" s="2">
        <v>4</v>
      </c>
    </row>
    <row r="111" spans="1:4" ht="14.45" customHeight="1">
      <c r="A111" s="8"/>
      <c r="B111" s="2">
        <v>2</v>
      </c>
      <c r="C111" s="2" t="s">
        <v>198</v>
      </c>
      <c r="D111" s="2">
        <v>5</v>
      </c>
    </row>
    <row r="112" spans="1:4" ht="14.45" customHeight="1">
      <c r="A112" s="8"/>
      <c r="B112" s="2">
        <v>3</v>
      </c>
      <c r="C112" s="7" t="s">
        <v>198</v>
      </c>
      <c r="D112" s="2">
        <v>5</v>
      </c>
    </row>
    <row r="113" spans="1:4" ht="14.45" customHeight="1">
      <c r="A113" s="8"/>
      <c r="B113" s="2">
        <v>4</v>
      </c>
      <c r="C113" s="7" t="s">
        <v>198</v>
      </c>
      <c r="D113" s="2">
        <v>5</v>
      </c>
    </row>
    <row r="114" spans="1:4" ht="14.45" customHeight="1">
      <c r="A114" s="8"/>
      <c r="B114" s="2">
        <v>5</v>
      </c>
      <c r="C114" s="7" t="s">
        <v>198</v>
      </c>
      <c r="D114" s="2">
        <v>5</v>
      </c>
    </row>
    <row r="115" spans="1:4">
      <c r="A115" s="3"/>
      <c r="B115" s="2"/>
      <c r="C115" s="2"/>
      <c r="D115" s="2"/>
    </row>
    <row r="116" spans="1:4" ht="14.45" customHeight="1">
      <c r="A116" s="8" t="s">
        <v>200</v>
      </c>
      <c r="B116" s="2">
        <v>1</v>
      </c>
      <c r="C116" s="7" t="s">
        <v>200</v>
      </c>
      <c r="D116" s="2">
        <v>5</v>
      </c>
    </row>
    <row r="117" spans="1:4" ht="14.45" customHeight="1">
      <c r="A117" s="9"/>
      <c r="B117" s="2">
        <v>2</v>
      </c>
      <c r="C117" s="2" t="s">
        <v>200</v>
      </c>
      <c r="D117" s="2">
        <v>5</v>
      </c>
    </row>
    <row r="118" spans="1:4" ht="14.45" customHeight="1">
      <c r="A118" s="9"/>
      <c r="B118" s="2">
        <v>3</v>
      </c>
      <c r="C118" s="7" t="s">
        <v>200</v>
      </c>
      <c r="D118" s="2">
        <v>5</v>
      </c>
    </row>
    <row r="119" spans="1:4" ht="14.45" customHeight="1">
      <c r="A119" s="9"/>
      <c r="B119" s="2">
        <v>4</v>
      </c>
      <c r="C119" s="2" t="s">
        <v>200</v>
      </c>
      <c r="D119" s="2">
        <v>5</v>
      </c>
    </row>
    <row r="120" spans="1:4" ht="14.45" customHeight="1">
      <c r="A120" s="9"/>
      <c r="B120" s="2">
        <v>5</v>
      </c>
      <c r="C120" s="7" t="s">
        <v>200</v>
      </c>
      <c r="D120" s="2">
        <v>5</v>
      </c>
    </row>
    <row r="121" spans="1:4">
      <c r="B121" s="2"/>
      <c r="C121" s="2"/>
      <c r="D121" s="2"/>
    </row>
    <row r="122" spans="1:4">
      <c r="B122" s="2"/>
    </row>
    <row r="123" spans="1:4">
      <c r="C123" s="1" t="s">
        <v>37</v>
      </c>
      <c r="D123" s="1">
        <f>D116+D110+D104+D98+D92+D86+D80+D74+D68+D62+D56+D50+D44+D38+D32+D26+D20+D14+D8</f>
        <v>93</v>
      </c>
    </row>
    <row r="124" spans="1:4">
      <c r="C124" s="1" t="s">
        <v>38</v>
      </c>
      <c r="D124" s="1">
        <f>D117+D111+D105+D99+D93+D87+D81+D75+D69+D63+D57+D51+D45+D39+D33+D27+D21+D15+D9+D3</f>
        <v>100</v>
      </c>
    </row>
    <row r="125" spans="1:4">
      <c r="C125" s="1" t="s">
        <v>39</v>
      </c>
      <c r="D125" s="1">
        <f>D118+D106+D112+D100+D94+D88+D82+D76+D70+D64+D58+D52+D46+D40+D34+D28+D22+D16+D10+D4</f>
        <v>97</v>
      </c>
    </row>
    <row r="126" spans="1:4">
      <c r="C126" s="1" t="s">
        <v>40</v>
      </c>
      <c r="D126" s="1">
        <f>D119+D107+D113+D101+D95+D89+D83+D77+D71+D65+D59+D53+D47+D41+D35+D29+D23+D17+D11+D5</f>
        <v>100</v>
      </c>
    </row>
    <row r="127" spans="1:4">
      <c r="C127" s="1" t="s">
        <v>41</v>
      </c>
      <c r="D127" s="1">
        <f>D120+D114+D108+D102+D96+D90+D84+D78+D72+D66+D60+D54+D48+D42+D36+D30+D24+D18+D12+D6</f>
        <v>100</v>
      </c>
    </row>
    <row r="128" spans="1:4">
      <c r="C128" s="1" t="s">
        <v>42</v>
      </c>
      <c r="D128" s="1">
        <f>(D123+D124+D125+D127++D126)/5</f>
        <v>98</v>
      </c>
    </row>
    <row r="130" spans="3:4">
      <c r="C130" s="1" t="s">
        <v>43</v>
      </c>
      <c r="D130" s="1">
        <f>D123/20</f>
        <v>4.6500000000000004</v>
      </c>
    </row>
    <row r="131" spans="3:4">
      <c r="C131" s="1" t="s">
        <v>44</v>
      </c>
      <c r="D131" s="1">
        <f>D124/20</f>
        <v>5</v>
      </c>
    </row>
    <row r="132" spans="3:4">
      <c r="C132" s="1" t="s">
        <v>45</v>
      </c>
      <c r="D132" s="1">
        <f>D125/20</f>
        <v>4.8499999999999996</v>
      </c>
    </row>
    <row r="133" spans="3:4">
      <c r="C133" s="1" t="s">
        <v>46</v>
      </c>
      <c r="D133" s="1">
        <f>D126/20</f>
        <v>5</v>
      </c>
    </row>
    <row r="134" spans="3:4">
      <c r="C134" s="1" t="s">
        <v>47</v>
      </c>
      <c r="D134" s="1">
        <f>D127/20</f>
        <v>5</v>
      </c>
    </row>
    <row r="135" spans="3:4">
      <c r="C135" s="2" t="s">
        <v>48</v>
      </c>
      <c r="D135" s="2">
        <f>SUM(D2:D120)/100</f>
        <v>4.95</v>
      </c>
    </row>
  </sheetData>
  <mergeCells count="20">
    <mergeCell ref="A110:A114"/>
    <mergeCell ref="A116:A120"/>
    <mergeCell ref="A74:A78"/>
    <mergeCell ref="A80:A84"/>
    <mergeCell ref="A86:A90"/>
    <mergeCell ref="A92:A96"/>
    <mergeCell ref="A98:A102"/>
    <mergeCell ref="A104:A108"/>
    <mergeCell ref="A68:A72"/>
    <mergeCell ref="A2:A6"/>
    <mergeCell ref="A8:A12"/>
    <mergeCell ref="A14:A18"/>
    <mergeCell ref="A20:A24"/>
    <mergeCell ref="A26:A30"/>
    <mergeCell ref="A32:A36"/>
    <mergeCell ref="A38:A42"/>
    <mergeCell ref="A44:A48"/>
    <mergeCell ref="A50:A54"/>
    <mergeCell ref="A56:A60"/>
    <mergeCell ref="A62:A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9EA81F0F10394B851ED36736ECB8E1" ma:contentTypeVersion="7" ma:contentTypeDescription="Opret et nyt dokument." ma:contentTypeScope="" ma:versionID="da2367901632a96c897cf1aa62cc1909">
  <xsd:schema xmlns:xsd="http://www.w3.org/2001/XMLSchema" xmlns:xs="http://www.w3.org/2001/XMLSchema" xmlns:p="http://schemas.microsoft.com/office/2006/metadata/properties" xmlns:ns2="ca1a0f96-ffc9-4d92-890f-b9b965c1779c" targetNamespace="http://schemas.microsoft.com/office/2006/metadata/properties" ma:root="true" ma:fieldsID="e80ec68a0bc7d64a66917cd1ddd32e46" ns2:_="">
    <xsd:import namespace="ca1a0f96-ffc9-4d92-890f-b9b965c177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a0f96-ffc9-4d92-890f-b9b965c17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C4B8A-326A-41EA-80A9-9468E05765AE}"/>
</file>

<file path=customXml/itemProps2.xml><?xml version="1.0" encoding="utf-8"?>
<ds:datastoreItem xmlns:ds="http://schemas.openxmlformats.org/officeDocument/2006/customXml" ds:itemID="{0559B790-3A35-4AAB-9AC6-25097D2FF518}"/>
</file>

<file path=customXml/itemProps3.xml><?xml version="1.0" encoding="utf-8"?>
<ds:datastoreItem xmlns:ds="http://schemas.openxmlformats.org/officeDocument/2006/customXml" ds:itemID="{7507F27C-62C2-4F96-A4A3-4AAA76439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Signe Strøm Møller Christensen</cp:lastModifiedBy>
  <cp:revision/>
  <dcterms:created xsi:type="dcterms:W3CDTF">2024-04-30T09:13:21Z</dcterms:created>
  <dcterms:modified xsi:type="dcterms:W3CDTF">2024-05-08T13:43:50Z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0x0101001E9EA81F0F10394B851ED36736ECB8E1</vt:lpwstr>
  </property>
</Properties>
</file>